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REPORT ICPMS 20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 s="1"/>
  <c r="C27" i="1"/>
  <c r="H26" i="1"/>
  <c r="C24" i="1"/>
  <c r="H23" i="1" s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<sst xmlns="http://schemas.openxmlformats.org/spreadsheetml/2006/main" count="84" uniqueCount="69">
  <si>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</si>
  <si>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</si>
  <si>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</si>
  <si>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</si>
  <si>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</si>
  <si>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</si>
  <si>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</si>
  <si>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</si>
  <si>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</si>
  <si>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</si>
  <si>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</si>
  <si>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</si>
  <si>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</si>
  <si>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</si>
  <si>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</si>
  <si>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</si>
  <si>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</si>
  <si>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</si>
  <si>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</si>
  <si>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</si>
  <si>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</si>
  <si>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</si>
  <si>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</si>
  <si>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</si>
  <si>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</si>
  <si>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</si>
  <si>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</si>
  <si>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</si>
  <si>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</si>
  <si>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</si>
  <si>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</si>
  <si>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</si>
  <si>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</si>
  <si>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</si>
  <si>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</si>
  <si>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</si>
  <si>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</si>
  <si>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</si>
  <si>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</si>
  <si>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</si>
  <si>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</si>
  <si>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</si>
  <si>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</si>
  <si>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</si>
  <si>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</si>
  <si>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</si>
  <si>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</si>
  <si>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</si>
  <si>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</si>
  <si>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</si>
  <si>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</si>
  <si>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</si>
  <si>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</si>
  <si>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</si>
  <si>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</si>
  <si>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</si>
  <si>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</si>
  <si>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</si>
  <si>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</si>
  <si>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</si>
  <si>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</si>
  <si>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</si>
  <si>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</si>
  <si>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</si>
  <si>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</si>
  <si>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</si>
  <si>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</si>
  <si>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040424</t>
  </si>
  <si>
    <t>PERMIT                  AMIR                    04/04/24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</si>
</sst>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6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  <xf numFmtId="49" fontId="2" fillId="0" borderId="2" xfId="0" applyNumberFormat="1" applyFont="1" applyBorder="1"/>
    <xf numFmtId="49" fontId="2" fillId="0" borderId="3" xfId="0" applyNumberFormat="1" applyFont="1" applyBorder="1"/>
    <xf numFmtId="49" fontId="6" fillId="2" borderId="1" xfId="0" applyNumberFormat="1" applyFont="1" applyFill="1" applyBorder="1" applyAlignment="1">
      <alignment horizontal="center" wrapText="1"/>
    </xf>
    <xf numFmtId="0" fontId="6" fillId="0" borderId="11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zoomScale="112" zoomScaleNormal="100" zoomScalePageLayoutView="112" workbookViewId="0">
      <selection activeCell="G38" sqref="G38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71" t="s">
        <v>0</v>
      </c>
      <c r="B1" s="72"/>
      <c r="C1" s="72"/>
      <c r="D1" s="72"/>
      <c r="E1" s="72"/>
      <c r="F1" s="72"/>
      <c r="G1" s="72"/>
      <c r="H1" s="72"/>
      <c r="I1" s="72"/>
      <c r="J1" s="73"/>
    </row>
    <row r="2" spans="1:26">
      <c r="A2" s="71" t="s">
        <v>1</v>
      </c>
      <c r="B2" s="72"/>
      <c r="C2" s="72"/>
      <c r="D2" s="72"/>
      <c r="E2" s="72"/>
      <c r="F2" s="72"/>
      <c r="G2" s="72"/>
      <c r="H2" s="72"/>
      <c r="I2" s="72"/>
      <c r="J2" s="73"/>
    </row>
    <row r="3" spans="1:26">
      <c r="A3" s="74" t="s">
        <v>2</v>
      </c>
      <c r="B3" s="72"/>
      <c r="C3" s="73"/>
      <c r="D3" s="75">
        <v>2024020163</v>
      </c>
      <c r="E3" s="72"/>
      <c r="F3" s="72"/>
      <c r="G3" s="72"/>
      <c r="H3" s="72"/>
      <c r="I3" s="72"/>
      <c r="J3" s="73"/>
    </row>
    <row r="4" spans="1:26">
      <c r="A4" s="74" t="s">
        <v>3</v>
      </c>
      <c r="B4" s="72"/>
      <c r="C4" s="73"/>
      <c r="D4" s="94" t="s">
        <v>67</v>
      </c>
      <c r="E4" s="92"/>
      <c r="F4" s="92"/>
      <c r="G4" s="92"/>
      <c r="H4" s="92"/>
      <c r="I4" s="92"/>
      <c r="J4" s="93"/>
    </row>
    <row r="5" spans="1:26" ht="15" customHeight="1">
      <c r="A5" s="76" t="s">
        <v>4</v>
      </c>
      <c r="B5" s="72"/>
      <c r="C5" s="72"/>
      <c r="D5" s="72"/>
      <c r="E5" s="72"/>
      <c r="F5" s="72"/>
      <c r="G5" s="72"/>
      <c r="H5" s="72"/>
      <c r="I5" s="72"/>
      <c r="J5" s="7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6" t="s">
        <v>5</v>
      </c>
      <c r="B6" s="72"/>
      <c r="C6" s="72"/>
      <c r="D6" s="72"/>
      <c r="E6" s="72"/>
      <c r="F6" s="72"/>
      <c r="G6" s="72"/>
      <c r="H6" s="72"/>
      <c r="I6" s="72"/>
      <c r="J6" s="73"/>
    </row>
    <row r="7" spans="1:26" ht="30" customHeight="1">
      <c r="A7" s="77" t="s">
        <v>6</v>
      </c>
      <c r="B7" s="67"/>
      <c r="C7" s="78" t="s">
        <v>7</v>
      </c>
      <c r="D7" s="67"/>
      <c r="E7" s="67"/>
      <c r="F7" s="2" t="s">
        <v>8</v>
      </c>
      <c r="G7" s="66" t="s">
        <v>9</v>
      </c>
      <c r="H7" s="67"/>
      <c r="I7" s="67"/>
      <c r="J7" s="68"/>
    </row>
    <row r="8" spans="1:26" ht="15" customHeight="1">
      <c r="A8" s="79" t="s">
        <v>10</v>
      </c>
      <c r="B8" s="41"/>
      <c r="C8" s="80" t="s">
        <v>11</v>
      </c>
      <c r="D8" s="41"/>
      <c r="E8" s="4"/>
      <c r="F8" s="5" t="s">
        <v>12</v>
      </c>
      <c r="G8" s="6" t="s">
        <v>13</v>
      </c>
      <c r="H8" s="6" t="s">
        <v>14</v>
      </c>
      <c r="I8" s="69"/>
      <c r="J8" s="70"/>
    </row>
    <row r="9" spans="1:26" ht="30" customHeight="1">
      <c r="A9" s="79" t="s">
        <v>15</v>
      </c>
      <c r="B9" s="41"/>
      <c r="C9" s="80" t="s">
        <v>16</v>
      </c>
      <c r="D9" s="41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79" t="s">
        <v>20</v>
      </c>
      <c r="B10" s="41"/>
      <c r="C10" s="80" t="s">
        <v>21</v>
      </c>
      <c r="D10" s="41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79" t="s">
        <v>25</v>
      </c>
      <c r="B11" s="41"/>
      <c r="C11" s="80" t="s">
        <v>26</v>
      </c>
      <c r="D11" s="41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79" t="s">
        <v>30</v>
      </c>
      <c r="B12" s="41"/>
      <c r="C12" s="80" t="s">
        <v>31</v>
      </c>
      <c r="D12" s="41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79" t="s">
        <v>35</v>
      </c>
      <c r="B13" s="41"/>
      <c r="C13" s="80" t="s">
        <v>36</v>
      </c>
      <c r="D13" s="41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79" t="s">
        <v>40</v>
      </c>
      <c r="B14" s="41"/>
      <c r="C14" s="80" t="s">
        <v>41</v>
      </c>
      <c r="D14" s="41"/>
      <c r="E14" s="7"/>
      <c r="F14" s="81" t="s">
        <v>42</v>
      </c>
      <c r="G14" s="41"/>
      <c r="H14" s="41"/>
      <c r="I14" s="82" t="s">
        <v>43</v>
      </c>
      <c r="J14" s="70"/>
    </row>
    <row r="15" spans="1:26" ht="15" customHeight="1">
      <c r="A15" s="79" t="s">
        <v>44</v>
      </c>
      <c r="B15" s="41"/>
      <c r="C15" s="80" t="s">
        <v>45</v>
      </c>
      <c r="D15" s="41"/>
      <c r="E15" s="7"/>
      <c r="F15" s="83" t="s">
        <v>64</v>
      </c>
      <c r="G15" s="41"/>
      <c r="H15" s="41"/>
      <c r="I15" s="42">
        <v>45808</v>
      </c>
      <c r="J15" s="43"/>
    </row>
    <row r="16" spans="1:26" ht="15" customHeight="1">
      <c r="A16" s="79" t="s">
        <v>46</v>
      </c>
      <c r="B16" s="41"/>
      <c r="C16" s="84" t="s">
        <v>47</v>
      </c>
      <c r="D16" s="41"/>
      <c r="E16" s="41"/>
      <c r="F16" s="40" t="s">
        <v>65</v>
      </c>
      <c r="G16" s="41"/>
      <c r="H16" s="41"/>
      <c r="I16" s="42">
        <v>45716</v>
      </c>
      <c r="J16" s="43"/>
    </row>
    <row r="17" spans="1:26">
      <c r="A17" s="3"/>
      <c r="B17" s="2"/>
      <c r="C17" s="13"/>
      <c r="D17" s="13"/>
      <c r="E17" s="13"/>
      <c r="F17" s="40" t="s">
        <v>66</v>
      </c>
      <c r="G17" s="41"/>
      <c r="H17" s="41"/>
      <c r="I17" s="42">
        <v>45688</v>
      </c>
      <c r="J17" s="4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4" t="s">
        <v>63</v>
      </c>
      <c r="G18" s="45"/>
      <c r="H18" s="45"/>
      <c r="I18" s="46">
        <v>46142</v>
      </c>
      <c r="J18" s="47"/>
    </row>
    <row r="19" spans="1:26">
      <c r="A19" s="48" t="s">
        <v>48</v>
      </c>
      <c r="B19" s="49"/>
      <c r="C19" s="49"/>
      <c r="D19" s="49"/>
      <c r="E19" s="49"/>
      <c r="F19" s="49"/>
      <c r="G19" s="49"/>
      <c r="H19" s="49"/>
      <c r="I19" s="49"/>
      <c r="J19" s="50"/>
    </row>
    <row r="20" spans="1:26" ht="26.25" customHeight="1">
      <c r="A20" s="51" t="s">
        <v>49</v>
      </c>
      <c r="B20" s="52"/>
      <c r="C20" s="31">
        <v>253.47499999999999</v>
      </c>
      <c r="D20" s="32" t="s">
        <v>50</v>
      </c>
      <c r="E20" s="33">
        <v>1000</v>
      </c>
      <c r="F20" s="53" t="s">
        <v>51</v>
      </c>
      <c r="G20" s="52"/>
      <c r="H20" s="54">
        <f>IF(AND(C21&lt;0.15),"&lt;0.15",C21)</f>
        <v>0.25347500000000001</v>
      </c>
      <c r="I20" s="55"/>
      <c r="J20" s="34" t="s">
        <v>52</v>
      </c>
    </row>
    <row r="21" spans="1:26" ht="15.75" customHeight="1">
      <c r="A21" s="35" t="s">
        <v>53</v>
      </c>
      <c r="B21" s="36"/>
      <c r="C21" s="56">
        <f>C20/1000</f>
        <v>0.25347500000000001</v>
      </c>
      <c r="D21" s="57"/>
      <c r="E21" s="37"/>
      <c r="F21" s="36"/>
      <c r="G21" s="36"/>
      <c r="H21" s="36"/>
      <c r="I21" s="36"/>
      <c r="J21" s="34"/>
    </row>
    <row r="22" spans="1:26" ht="15.75" customHeight="1">
      <c r="A22" s="58" t="s">
        <v>56</v>
      </c>
      <c r="B22" s="59"/>
      <c r="C22" s="59"/>
      <c r="D22" s="59"/>
      <c r="E22" s="59"/>
      <c r="F22" s="59"/>
      <c r="G22" s="59"/>
      <c r="H22" s="59"/>
      <c r="I22" s="59"/>
      <c r="J22" s="6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1" t="s">
        <v>49</v>
      </c>
      <c r="B23" s="52"/>
      <c r="C23" s="31">
        <v>30.387</v>
      </c>
      <c r="D23" s="32" t="s">
        <v>50</v>
      </c>
      <c r="E23" s="38">
        <v>1000</v>
      </c>
      <c r="F23" s="53" t="s">
        <v>51</v>
      </c>
      <c r="G23" s="52"/>
      <c r="H23" s="54" t="str">
        <f>IF(C24&lt;0.15,"&lt;0.15",C24)</f>
        <v>&lt;0.15</v>
      </c>
      <c r="I23" s="55"/>
      <c r="J23" s="34" t="s">
        <v>52</v>
      </c>
    </row>
    <row r="24" spans="1:26" ht="15.75" customHeight="1">
      <c r="A24" s="35" t="s">
        <v>53</v>
      </c>
      <c r="B24" s="36"/>
      <c r="C24" s="56">
        <f>C23/1000</f>
        <v>3.0387000000000001E-2</v>
      </c>
      <c r="D24" s="57"/>
      <c r="E24" s="37"/>
      <c r="F24" s="36"/>
      <c r="G24" s="36"/>
      <c r="H24" s="36"/>
      <c r="I24" s="36"/>
      <c r="J24" s="34"/>
    </row>
    <row r="25" spans="1:26" ht="15.75" customHeight="1">
      <c r="A25" s="58" t="s">
        <v>54</v>
      </c>
      <c r="B25" s="59"/>
      <c r="C25" s="59"/>
      <c r="D25" s="59"/>
      <c r="E25" s="59"/>
      <c r="F25" s="59"/>
      <c r="G25" s="59"/>
      <c r="H25" s="59"/>
      <c r="I25" s="59"/>
      <c r="J25" s="6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1" t="s">
        <v>49</v>
      </c>
      <c r="B26" s="41"/>
      <c r="C26" s="31">
        <v>40.768000000000001</v>
      </c>
      <c r="D26" s="32" t="s">
        <v>50</v>
      </c>
      <c r="E26" s="38">
        <v>1000</v>
      </c>
      <c r="F26" s="62" t="s">
        <v>51</v>
      </c>
      <c r="G26" s="52"/>
      <c r="H26" s="54" t="str">
        <f>IF(AND(C27&lt;0.15),"&lt;0.15",C27)</f>
        <v>&lt;0.15</v>
      </c>
      <c r="I26" s="55"/>
      <c r="J26" s="39" t="s">
        <v>52</v>
      </c>
    </row>
    <row r="27" spans="1:26" ht="15.75" customHeight="1">
      <c r="A27" s="35" t="s">
        <v>53</v>
      </c>
      <c r="B27" s="36"/>
      <c r="C27" s="63">
        <f>C26/1000</f>
        <v>4.0767999999999999E-2</v>
      </c>
      <c r="D27" s="64"/>
      <c r="E27" s="37"/>
      <c r="F27" s="36"/>
      <c r="G27" s="36"/>
      <c r="H27" s="36"/>
      <c r="I27" s="36"/>
      <c r="J27" s="34"/>
    </row>
    <row r="28" spans="1:26" ht="15.75" customHeight="1">
      <c r="A28" s="58" t="s">
        <v>55</v>
      </c>
      <c r="B28" s="59"/>
      <c r="C28" s="59"/>
      <c r="D28" s="59"/>
      <c r="E28" s="59"/>
      <c r="F28" s="59"/>
      <c r="G28" s="59"/>
      <c r="H28" s="59"/>
      <c r="I28" s="59"/>
      <c r="J28" s="6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1" t="s">
        <v>49</v>
      </c>
      <c r="B29" s="41"/>
      <c r="C29" s="31">
        <v>554.846</v>
      </c>
      <c r="D29" s="32" t="s">
        <v>50</v>
      </c>
      <c r="E29" s="38">
        <v>1000</v>
      </c>
      <c r="F29" s="65" t="s">
        <v>51</v>
      </c>
      <c r="G29" s="41"/>
      <c r="H29" s="54">
        <f>IF(AND(C30&lt;0.15),"&lt;0.15",C30)</f>
        <v>0.55484599999999995</v>
      </c>
      <c r="I29" s="55"/>
      <c r="J29" s="34" t="s">
        <v>52</v>
      </c>
    </row>
    <row r="30" spans="1:26" ht="15.75" customHeight="1">
      <c r="A30" s="35" t="s">
        <v>53</v>
      </c>
      <c r="B30" s="36"/>
      <c r="C30" s="56">
        <f>C29/1000</f>
        <v>0.55484599999999995</v>
      </c>
      <c r="D30" s="57"/>
      <c r="E30" s="37"/>
      <c r="F30" s="36"/>
      <c r="G30" s="36"/>
      <c r="H30" s="36"/>
      <c r="I30" s="36"/>
      <c r="J30" s="34"/>
    </row>
    <row r="31" spans="1:26" ht="15.75" customHeight="1">
      <c r="A31" s="88" t="s">
        <v>57</v>
      </c>
      <c r="B31" s="67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89" t="s">
        <v>59</v>
      </c>
      <c r="C32" s="41"/>
      <c r="D32" s="41"/>
      <c r="E32" s="70"/>
      <c r="F32" s="1"/>
      <c r="G32" s="1"/>
      <c r="H32" s="1"/>
      <c r="I32" s="1"/>
      <c r="J32" s="16"/>
    </row>
    <row r="33" spans="1:26" ht="15.75" customHeight="1">
      <c r="A33" s="21"/>
      <c r="B33" s="41"/>
      <c r="C33" s="41"/>
      <c r="D33" s="41"/>
      <c r="E33" s="70"/>
      <c r="F33" s="22"/>
      <c r="G33" s="1"/>
      <c r="H33" s="1"/>
      <c r="I33" s="1"/>
      <c r="J33" s="16"/>
    </row>
    <row r="34" spans="1:26" ht="15.75" customHeight="1">
      <c r="A34" s="23"/>
      <c r="B34" s="89" t="s">
        <v>60</v>
      </c>
      <c r="C34" s="41"/>
      <c r="D34" s="41"/>
      <c r="E34" s="70"/>
      <c r="F34" s="1"/>
      <c r="G34" s="1"/>
      <c r="H34" s="1"/>
      <c r="I34" s="1"/>
      <c r="J34" s="16"/>
    </row>
    <row r="35" spans="1:26" ht="15.75" customHeight="1">
      <c r="A35" s="23"/>
      <c r="B35" s="41"/>
      <c r="C35" s="41"/>
      <c r="D35" s="41"/>
      <c r="E35" s="70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90" t="s">
        <v>61</v>
      </c>
      <c r="B38" s="67"/>
      <c r="C38" s="67"/>
      <c r="D38" s="67"/>
      <c r="E38" s="68"/>
      <c r="F38" s="24"/>
      <c r="G38" s="25"/>
      <c r="H38" s="25"/>
      <c r="I38" s="25"/>
      <c r="J38" s="17"/>
    </row>
    <row r="39" spans="1:26" ht="11.25" customHeight="1">
      <c r="A39" s="86"/>
      <c r="B39" s="87"/>
      <c r="C39" s="87"/>
      <c r="D39" s="87"/>
      <c r="E39" s="91"/>
      <c r="F39" s="95" t="s">
        <v>68</v>
      </c>
      <c r="G39" s="27"/>
      <c r="H39" s="27"/>
      <c r="I39" s="27"/>
      <c r="J39" s="28"/>
    </row>
    <row r="40" spans="1:26" ht="15.75" customHeight="1">
      <c r="A40" s="85" t="s">
        <v>62</v>
      </c>
      <c r="B40" s="67"/>
      <c r="C40" s="67"/>
      <c r="D40" s="67"/>
      <c r="E40" s="67"/>
      <c r="F40" s="29"/>
      <c r="G40" s="25"/>
      <c r="H40" s="25"/>
      <c r="I40" s="25"/>
      <c r="J40" s="16"/>
    </row>
    <row r="41" spans="1:26" ht="11.25" customHeight="1">
      <c r="A41" s="86"/>
      <c r="B41" s="87"/>
      <c r="C41" s="87"/>
      <c r="D41" s="87"/>
      <c r="E41" s="87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2024-03-29T07:38:51Z</cp:lastPrinted>
  <dcterms:created xsi:type="dcterms:W3CDTF">2006-09-16T00:00:00Z</dcterms:created>
  <dcterms:modified xsi:type="dcterms:W3CDTF">2024-04-18T01:57:39Z</dcterms:modified>
</cp:coreProperties>
</file>