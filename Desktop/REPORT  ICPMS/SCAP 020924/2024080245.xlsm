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ICPMS\SCAP 020924\"/>
    </mc:Choice>
  </mc:AlternateContent>
  <bookViews>
    <workbookView xWindow="0" yWindow="0" windowWidth="20490" windowHeight="7620" activeTab="1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62913"/>
  <extLs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D3" i="36" l="1"/>
  <c r="D3" i="35"/>
  <c r="D3" i="34"/>
  <c r="C29" i="24"/>
  <c r="C29" i="36" l="1"/>
  <c r="C26" i="36"/>
  <c r="C23" i="36"/>
  <c r="C20" i="36"/>
  <c r="C29" i="35"/>
  <c r="C26" i="35"/>
  <c r="C23" i="35"/>
  <c r="C20" i="35"/>
  <c r="C29" i="34"/>
  <c r="C26" i="34"/>
  <c r="C23" i="34"/>
  <c r="C20" i="34"/>
  <c r="C29" i="33"/>
  <c r="C26" i="33"/>
  <c r="C23" i="33"/>
  <c r="C20" i="33"/>
  <c r="C29" i="32"/>
  <c r="C26" i="32"/>
  <c r="C23" i="32"/>
  <c r="C20" i="32"/>
  <c r="C29" i="31" l="1"/>
  <c r="C30" i="31" s="1"/>
  <c r="H29" i="31" s="1"/>
  <c r="C26" i="31"/>
  <c r="C23" i="31"/>
  <c r="C24" i="31" s="1"/>
  <c r="H23" i="31" s="1"/>
  <c r="C20" i="31"/>
  <c r="D3" i="31"/>
  <c r="C29" i="30"/>
  <c r="C30" i="30" s="1"/>
  <c r="H29" i="30" s="1"/>
  <c r="C26" i="30"/>
  <c r="C23" i="30"/>
  <c r="C24" i="30" s="1"/>
  <c r="H23" i="30" s="1"/>
  <c r="C20" i="30"/>
  <c r="D3" i="30"/>
  <c r="C29" i="29"/>
  <c r="C26" i="29"/>
  <c r="C23" i="29"/>
  <c r="C24" i="29" s="1"/>
  <c r="H23" i="29" s="1"/>
  <c r="C20" i="29"/>
  <c r="C21" i="29" s="1"/>
  <c r="H20" i="29" s="1"/>
  <c r="D3" i="29"/>
  <c r="C29" i="28"/>
  <c r="C30" i="28" s="1"/>
  <c r="H29" i="28" s="1"/>
  <c r="C26" i="28"/>
  <c r="C27" i="28" s="1"/>
  <c r="H26" i="28" s="1"/>
  <c r="C23" i="28"/>
  <c r="C24" i="28" s="1"/>
  <c r="H23" i="28" s="1"/>
  <c r="C20" i="28"/>
  <c r="D3" i="28"/>
  <c r="C29" i="27"/>
  <c r="C30" i="27" s="1"/>
  <c r="H29" i="27" s="1"/>
  <c r="C26" i="27"/>
  <c r="C27" i="27" s="1"/>
  <c r="H26" i="27" s="1"/>
  <c r="C23" i="27"/>
  <c r="C20" i="27"/>
  <c r="C21" i="27" s="1"/>
  <c r="H20" i="27" s="1"/>
  <c r="D3" i="27"/>
  <c r="C29" i="26"/>
  <c r="C30" i="26" s="1"/>
  <c r="H29" i="26" s="1"/>
  <c r="C26" i="26"/>
  <c r="C23" i="26"/>
  <c r="C24" i="26" s="1"/>
  <c r="H23" i="26" s="1"/>
  <c r="C20" i="26"/>
  <c r="C21" i="26" s="1"/>
  <c r="H20" i="26" s="1"/>
  <c r="D3" i="26"/>
  <c r="C29" i="25"/>
  <c r="C30" i="25" s="1"/>
  <c r="H29" i="25" s="1"/>
  <c r="C26" i="25"/>
  <c r="C23" i="25"/>
  <c r="C24" i="25" s="1"/>
  <c r="H23" i="25" s="1"/>
  <c r="C20" i="25"/>
  <c r="C21" i="25" s="1"/>
  <c r="H20" i="25" s="1"/>
  <c r="D3" i="25"/>
  <c r="D3" i="24"/>
  <c r="C30" i="24"/>
  <c r="H29" i="24" s="1"/>
  <c r="C26" i="24"/>
  <c r="C27" i="24" s="1"/>
  <c r="H26" i="24" s="1"/>
  <c r="C23" i="24"/>
  <c r="C24" i="24" s="1"/>
  <c r="H23" i="24" s="1"/>
  <c r="C20" i="24"/>
  <c r="C21" i="24" s="1"/>
  <c r="H20" i="24" s="1"/>
  <c r="C29" i="23"/>
  <c r="C30" i="23" s="1"/>
  <c r="H29" i="23" s="1"/>
  <c r="C26" i="23"/>
  <c r="C27" i="23" s="1"/>
  <c r="H26" i="23" s="1"/>
  <c r="C23" i="23"/>
  <c r="C24" i="23" s="1"/>
  <c r="H23" i="23" s="1"/>
  <c r="C20" i="23"/>
  <c r="C21" i="23" s="1"/>
  <c r="H20" i="23" s="1"/>
  <c r="D3" i="23"/>
  <c r="D3" i="1"/>
  <c r="H38" i="36"/>
  <c r="F38" i="36"/>
  <c r="C30" i="36"/>
  <c r="H29" i="36" s="1"/>
  <c r="C27" i="36"/>
  <c r="H26" i="36"/>
  <c r="C24" i="36"/>
  <c r="H23" i="36" s="1"/>
  <c r="C21" i="36"/>
  <c r="H20" i="36" s="1"/>
  <c r="I18" i="36"/>
  <c r="G18" i="36"/>
  <c r="I17" i="36"/>
  <c r="G17" i="36"/>
  <c r="I16" i="36"/>
  <c r="G16" i="36"/>
  <c r="I15" i="36"/>
  <c r="G15" i="36"/>
  <c r="D4" i="36"/>
  <c r="H38" i="35"/>
  <c r="F38" i="35"/>
  <c r="C30" i="35"/>
  <c r="H29" i="35" s="1"/>
  <c r="C27" i="35"/>
  <c r="H26" i="35"/>
  <c r="C24" i="35"/>
  <c r="H23" i="35"/>
  <c r="C21" i="35"/>
  <c r="H20" i="35" s="1"/>
  <c r="I18" i="35"/>
  <c r="G18" i="35"/>
  <c r="I17" i="35"/>
  <c r="G17" i="35"/>
  <c r="I16" i="35"/>
  <c r="G16" i="35"/>
  <c r="I15" i="35"/>
  <c r="G15" i="35"/>
  <c r="D4" i="35"/>
  <c r="H38" i="34"/>
  <c r="F38" i="34"/>
  <c r="C30" i="34"/>
  <c r="H29" i="34"/>
  <c r="C27" i="34"/>
  <c r="H26" i="34" s="1"/>
  <c r="C24" i="34"/>
  <c r="H23" i="34" s="1"/>
  <c r="C21" i="34"/>
  <c r="H20" i="34" s="1"/>
  <c r="I18" i="34"/>
  <c r="G18" i="34"/>
  <c r="I17" i="34"/>
  <c r="G17" i="34"/>
  <c r="I16" i="34"/>
  <c r="G16" i="34"/>
  <c r="I15" i="34"/>
  <c r="G15" i="34"/>
  <c r="D4" i="34"/>
  <c r="H38" i="33"/>
  <c r="F38" i="33"/>
  <c r="C30" i="33"/>
  <c r="H29" i="33" s="1"/>
  <c r="C27" i="33"/>
  <c r="H26" i="33" s="1"/>
  <c r="C24" i="33"/>
  <c r="H23" i="33" s="1"/>
  <c r="C21" i="33"/>
  <c r="H20" i="33"/>
  <c r="I18" i="33"/>
  <c r="G18" i="33"/>
  <c r="I17" i="33"/>
  <c r="G17" i="33"/>
  <c r="I16" i="33"/>
  <c r="G16" i="33"/>
  <c r="I15" i="33"/>
  <c r="G15" i="33"/>
  <c r="D4" i="33"/>
  <c r="H38" i="32"/>
  <c r="F38" i="32"/>
  <c r="C30" i="32"/>
  <c r="H29" i="32" s="1"/>
  <c r="C27" i="32"/>
  <c r="H26" i="32" s="1"/>
  <c r="C24" i="32"/>
  <c r="H23" i="32" s="1"/>
  <c r="C21" i="32"/>
  <c r="H20" i="32" s="1"/>
  <c r="I18" i="32"/>
  <c r="G18" i="32"/>
  <c r="I17" i="32"/>
  <c r="G17" i="32"/>
  <c r="I16" i="32"/>
  <c r="G16" i="32"/>
  <c r="I15" i="32"/>
  <c r="G15" i="32"/>
  <c r="D4" i="32"/>
  <c r="H38" i="31"/>
  <c r="F38" i="31"/>
  <c r="C27" i="31"/>
  <c r="H26" i="31" s="1"/>
  <c r="C21" i="31"/>
  <c r="H20" i="31" s="1"/>
  <c r="I18" i="31"/>
  <c r="G18" i="31"/>
  <c r="I17" i="31"/>
  <c r="G17" i="31"/>
  <c r="I16" i="31"/>
  <c r="G16" i="31"/>
  <c r="I15" i="31"/>
  <c r="G15" i="31"/>
  <c r="D4" i="31"/>
  <c r="H38" i="30"/>
  <c r="F38" i="30"/>
  <c r="C27" i="30"/>
  <c r="H26" i="30" s="1"/>
  <c r="C21" i="30"/>
  <c r="H20" i="30" s="1"/>
  <c r="I18" i="30"/>
  <c r="G18" i="30"/>
  <c r="I17" i="30"/>
  <c r="G17" i="30"/>
  <c r="I16" i="30"/>
  <c r="G16" i="30"/>
  <c r="I15" i="30"/>
  <c r="G15" i="30"/>
  <c r="D4" i="30"/>
  <c r="H38" i="29"/>
  <c r="F38" i="29"/>
  <c r="C30" i="29"/>
  <c r="H29" i="29" s="1"/>
  <c r="C27" i="29"/>
  <c r="H26" i="29" s="1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C24" i="27"/>
  <c r="H23" i="27" s="1"/>
  <c r="I18" i="27"/>
  <c r="G18" i="27"/>
  <c r="I17" i="27"/>
  <c r="G17" i="27"/>
  <c r="I16" i="27"/>
  <c r="G16" i="27"/>
  <c r="I15" i="27"/>
  <c r="G15" i="27"/>
  <c r="D4" i="27"/>
  <c r="H38" i="26"/>
  <c r="F38" i="26"/>
  <c r="C27" i="26"/>
  <c r="H26" i="26" s="1"/>
  <c r="I18" i="26"/>
  <c r="G18" i="26"/>
  <c r="I17" i="26"/>
  <c r="G17" i="26"/>
  <c r="I16" i="26"/>
  <c r="G16" i="26"/>
  <c r="I15" i="26"/>
  <c r="G15" i="26"/>
  <c r="D4" i="26"/>
  <c r="H38" i="25"/>
  <c r="F38" i="25"/>
  <c r="C27" i="25"/>
  <c r="H26" i="25" s="1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C29" i="1"/>
  <c r="C26" i="1"/>
  <c r="C23" i="1"/>
  <c r="C20" i="1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<sst xmlns="http://schemas.openxmlformats.org/spreadsheetml/2006/main" count="1331" uniqueCount="106">
  <si>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</si>
  <si>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</si>
  <si>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</si>
  <si>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</si>
  <si>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</si>
  <si>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</si>
  <si>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</si>
  <si>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</si>
  <si>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</si>
  <si>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</si>
  <si>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</si>
  <si>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</si>
  <si>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</si>
  <si>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</si>
  <si>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</si>
  <si>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</si>
  <si>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</si>
  <si>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</si>
  <si>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</si>
  <si>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</si>
  <si>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</si>
  <si>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</si>
  <si>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</si>
  <si>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</si>
  <si>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</si>
  <si>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</si>
  <si>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</si>
  <si>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</si>
  <si>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</si>
  <si>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</si>
  <si>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</si>
  <si>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</si>
  <si>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</si>
  <si>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</si>
  <si>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</si>
  <si>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</si>
  <si>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</si>
  <si>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</si>
  <si>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</si>
  <si>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</si>
  <si>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</si>
  <si>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</si>
  <si>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</si>
  <si>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</si>
  <si>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</si>
  <si>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</si>
  <si>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</si>
  <si>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</si>
  <si>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</si>
  <si>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</si>
  <si>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</si>
  <si>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</si>
  <si>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</si>
  <si>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</si>
  <si>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</si>
  <si>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</si>
  <si>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</si>
  <si>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</si>
  <si>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</si>
  <si>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</si>
  <si>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</si>
  <si>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</si>
  <si>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</si>
  <si>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</si>
  <si>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</si>
  <si>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</si>
  <si>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</si>
  <si>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</si>
  <si>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</si>
  <si>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</si>
  <si>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</si>
  <si>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</si>
  <si>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</si>
  <si>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</si>
  <si>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</si>
  <si>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</si>
  <si>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</si>
  <si>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</si>
  <si>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</si>
  <si>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</si>
  <si>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</si>
  <si>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</si>
  <si>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</si>
  <si>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</si>
  <si>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</si>
  <si>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</si>
  <si>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</si>
  <si>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</si>
  <si>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</si>
  <si>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Sampel 1</t>
  </si>
  <si>
    <t>Sampel 2</t>
  </si>
  <si>
    <t>Sampel 3</t>
  </si>
  <si>
    <t>Sampel 4</t>
  </si>
  <si>
    <t>Sampel 5</t>
  </si>
  <si>
    <t>Sampel 6</t>
  </si>
  <si>
    <t>Sampel 7</t>
  </si>
  <si>
    <t>Sampel 8</t>
  </si>
  <si>
    <t>Sampel 9</t>
  </si>
  <si>
    <t>Sampel 10</t>
  </si>
  <si>
    <t>Sampel 11</t>
  </si>
  <si>
    <t>Sampel 12</t>
  </si>
  <si>
    <t>Sampel 13</t>
  </si>
  <si>
    <t>Sampel 14</t>
  </si>
  <si>
    <t>Sampel 15</t>
  </si>
  <si>
    <t>cd</t>
  </si>
  <si>
    <t>PERMIT              MAISARAH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</si>
</sst>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</fills>
  <borders count="44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68">
    <xf numFmtId="0" fontId="0" fillId="0" borderId="0" xfId="0" applyFont="1" applyAlignment="1"/>
    <xf numFmtId="0" fontId="6" fillId="0" borderId="0" xfId="0" applyFont="1"/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1" fontId="8" fillId="0" borderId="8" xfId="0" applyNumberFormat="1" applyFont="1" applyBorder="1" applyAlignment="1">
      <alignment vertical="top"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6" fillId="0" borderId="0" xfId="0" applyFont="1" applyAlignment="1">
      <alignment horizontal="left"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6" fillId="0" borderId="8" xfId="0" applyFont="1" applyBorder="1"/>
    <xf numFmtId="0" fontId="6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vertical="center" wrapText="1"/>
    </xf>
    <xf numFmtId="0" fontId="6" fillId="0" borderId="0" xfId="0" applyFont="1" applyAlignment="1">
      <alignment horizontal="center" vertical="top" wrapText="1"/>
    </xf>
    <xf numFmtId="0" fontId="6" fillId="0" borderId="7" xfId="0" applyFont="1" applyBorder="1" applyAlignment="1">
      <alignment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0" xfId="0" applyFont="1" applyAlignment="1">
      <alignment wrapText="1"/>
    </xf>
    <xf numFmtId="164" fontId="9" fillId="4" borderId="0" xfId="0" applyNumberFormat="1" applyFont="1" applyFill="1"/>
    <xf numFmtId="164" fontId="9" fillId="0" borderId="0" xfId="0" applyNumberFormat="1" applyFont="1" applyAlignment="1">
      <alignment horizontal="center"/>
    </xf>
    <xf numFmtId="1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 applyAlignment="1">
      <alignment horizontal="right" wrapText="1"/>
    </xf>
    <xf numFmtId="0" fontId="9" fillId="0" borderId="0" xfId="0" applyFont="1"/>
    <xf numFmtId="166" fontId="13" fillId="0" borderId="8" xfId="0" applyNumberFormat="1" applyFont="1" applyBorder="1"/>
    <xf numFmtId="1" fontId="9" fillId="0" borderId="8" xfId="0" applyNumberFormat="1" applyFont="1" applyBorder="1" applyAlignment="1">
      <alignment horizontal="center" vertical="center"/>
    </xf>
    <xf numFmtId="0" fontId="9" fillId="0" borderId="6" xfId="0" applyFont="1" applyBorder="1"/>
    <xf numFmtId="0" fontId="4" fillId="0" borderId="0" xfId="0" applyFont="1" applyAlignment="1">
      <alignment horizontal="left" vertical="center" wrapText="1"/>
    </xf>
    <xf numFmtId="0" fontId="0" fillId="0" borderId="0" xfId="0" applyFont="1" applyAlignment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horizontal="center" wrapText="1"/>
    </xf>
    <xf numFmtId="1" fontId="9" fillId="0" borderId="9" xfId="0" applyNumberFormat="1" applyFont="1" applyBorder="1" applyAlignment="1">
      <alignment horizontal="center" wrapText="1"/>
    </xf>
    <xf numFmtId="0" fontId="0" fillId="0" borderId="12" xfId="0" applyFont="1" applyBorder="1" applyAlignment="1"/>
    <xf numFmtId="0" fontId="3" fillId="0" borderId="28" xfId="0" applyFont="1" applyBorder="1" applyAlignment="1"/>
    <xf numFmtId="0" fontId="0" fillId="0" borderId="29" xfId="0" applyFont="1" applyBorder="1" applyAlignment="1"/>
    <xf numFmtId="0" fontId="0" fillId="0" borderId="27" xfId="0" applyFont="1" applyBorder="1" applyAlignment="1"/>
    <xf numFmtId="0" fontId="3" fillId="0" borderId="28" xfId="0" applyFont="1" applyBorder="1" applyAlignment="1">
      <alignment horizontal="left"/>
    </xf>
    <xf numFmtId="0" fontId="0" fillId="0" borderId="20" xfId="0" applyFont="1" applyBorder="1" applyAlignment="1"/>
    <xf numFmtId="14" fontId="0" fillId="0" borderId="18" xfId="0" applyNumberFormat="1" applyFont="1" applyBorder="1" applyAlignment="1">
      <alignment horizontal="center"/>
    </xf>
    <xf numFmtId="14" fontId="0" fillId="0" borderId="21" xfId="0" applyNumberFormat="1" applyFont="1" applyBorder="1" applyAlignment="1">
      <alignment horizontal="center"/>
    </xf>
    <xf numFmtId="0" fontId="0" fillId="0" borderId="32" xfId="0" applyFont="1" applyBorder="1" applyAlignment="1"/>
    <xf numFmtId="0" fontId="0" fillId="0" borderId="33" xfId="0" applyFont="1" applyBorder="1" applyAlignment="1"/>
    <xf numFmtId="0" fontId="3" fillId="0" borderId="35" xfId="0" applyFont="1" applyBorder="1" applyAlignment="1">
      <alignment horizontal="left"/>
    </xf>
    <xf numFmtId="0" fontId="0" fillId="0" borderId="36" xfId="0" applyFont="1" applyBorder="1" applyAlignment="1"/>
    <xf numFmtId="14" fontId="0" fillId="0" borderId="38" xfId="0" applyNumberFormat="1" applyFont="1" applyBorder="1" applyAlignment="1"/>
    <xf numFmtId="0" fontId="14" fillId="5" borderId="22" xfId="0" applyFont="1" applyFill="1" applyBorder="1" applyAlignment="1">
      <alignment horizontal="left"/>
    </xf>
    <xf numFmtId="0" fontId="14" fillId="5" borderId="26" xfId="0" applyFont="1" applyFill="1" applyBorder="1" applyAlignment="1"/>
    <xf numFmtId="0" fontId="14" fillId="5" borderId="30" xfId="0" applyFont="1" applyFill="1" applyBorder="1" applyAlignment="1"/>
    <xf numFmtId="0" fontId="3" fillId="0" borderId="35" xfId="0" applyFont="1" applyBorder="1" applyAlignment="1"/>
    <xf numFmtId="0" fontId="14" fillId="5" borderId="22" xfId="0" applyFont="1" applyFill="1" applyBorder="1" applyAlignment="1"/>
    <xf numFmtId="0" fontId="0" fillId="0" borderId="13" xfId="0" applyFont="1" applyBorder="1" applyAlignment="1"/>
    <xf numFmtId="0" fontId="3" fillId="0" borderId="39" xfId="0" applyFont="1" applyBorder="1" applyAlignment="1"/>
    <xf numFmtId="0" fontId="0" fillId="0" borderId="34" xfId="0" applyFont="1" applyBorder="1" applyAlignment="1"/>
    <xf numFmtId="0" fontId="0" fillId="0" borderId="40" xfId="0" applyFont="1" applyBorder="1" applyAlignment="1"/>
    <xf numFmtId="0" fontId="0" fillId="0" borderId="39" xfId="0" applyFont="1" applyBorder="1" applyAlignment="1"/>
    <xf numFmtId="0" fontId="0" fillId="0" borderId="25" xfId="0" applyFont="1" applyBorder="1" applyAlignment="1"/>
    <xf numFmtId="0" fontId="3" fillId="0" borderId="17" xfId="0" applyFont="1" applyBorder="1" applyAlignment="1">
      <alignment horizontal="center"/>
    </xf>
    <xf numFmtId="0" fontId="3" fillId="4" borderId="15" xfId="0" applyFont="1" applyFill="1" applyBorder="1" applyAlignment="1"/>
    <xf numFmtId="0" fontId="3" fillId="6" borderId="12" xfId="0" applyFont="1" applyFill="1" applyBorder="1" applyAlignment="1"/>
    <xf numFmtId="0" fontId="3" fillId="7" borderId="12" xfId="0" applyFont="1" applyFill="1" applyBorder="1" applyAlignment="1"/>
    <xf numFmtId="0" fontId="3" fillId="8" borderId="20" xfId="0" applyFont="1" applyFill="1" applyBorder="1" applyAlignment="1"/>
    <xf numFmtId="0" fontId="15" fillId="0" borderId="0" xfId="0" applyFont="1" applyFill="1" applyAlignment="1"/>
    <xf numFmtId="0" fontId="0" fillId="0" borderId="16" xfId="0" applyFont="1" applyFill="1" applyBorder="1" applyAlignment="1"/>
    <xf numFmtId="0" fontId="0" fillId="0" borderId="0" xfId="0" applyFont="1" applyFill="1" applyAlignment="1"/>
    <xf numFmtId="0" fontId="2" fillId="0" borderId="17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16" fillId="0" borderId="1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5" fillId="9" borderId="41" xfId="0" applyFont="1" applyFill="1" applyBorder="1" applyAlignment="1">
      <alignment horizontal="center"/>
    </xf>
    <xf numFmtId="0" fontId="14" fillId="5" borderId="14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0" fillId="9" borderId="0" xfId="0" applyFont="1" applyFill="1" applyAlignment="1">
      <alignment horizontal="center"/>
    </xf>
    <xf numFmtId="0" fontId="14" fillId="5" borderId="42" xfId="0" applyFont="1" applyFill="1" applyBorder="1" applyAlignment="1">
      <alignment horizontal="center" vertical="center"/>
    </xf>
    <xf numFmtId="0" fontId="14" fillId="5" borderId="37" xfId="0" applyFont="1" applyFill="1" applyBorder="1" applyAlignment="1">
      <alignment horizontal="center" vertical="center"/>
    </xf>
    <xf numFmtId="0" fontId="14" fillId="5" borderId="43" xfId="0" applyFont="1" applyFill="1" applyBorder="1" applyAlignment="1">
      <alignment horizontal="center" vertical="center"/>
    </xf>
    <xf numFmtId="0" fontId="14" fillId="5" borderId="31" xfId="0" applyFont="1" applyFill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0" fillId="9" borderId="41" xfId="0" applyFont="1" applyFill="1" applyBorder="1" applyAlignment="1">
      <alignment horizontal="center"/>
    </xf>
    <xf numFmtId="49" fontId="6" fillId="0" borderId="4" xfId="0" applyNumberFormat="1" applyFont="1" applyBorder="1" applyAlignment="1">
      <alignment horizontal="center" vertical="center" shrinkToFit="1"/>
    </xf>
    <xf numFmtId="49" fontId="6" fillId="0" borderId="5" xfId="0" applyNumberFormat="1" applyFont="1" applyBorder="1" applyAlignment="1">
      <alignment horizontal="center" vertical="center" shrinkToFit="1"/>
    </xf>
    <xf numFmtId="49" fontId="6" fillId="0" borderId="1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167" fontId="6" fillId="0" borderId="5" xfId="0" applyNumberFormat="1" applyFont="1" applyBorder="1" applyAlignment="1">
      <alignment horizontal="center" vertical="center"/>
    </xf>
    <xf numFmtId="167" fontId="6" fillId="0" borderId="6" xfId="0" applyNumberFormat="1" applyFont="1" applyBorder="1" applyAlignment="1">
      <alignment horizontal="center" vertical="center"/>
    </xf>
    <xf numFmtId="167" fontId="6" fillId="0" borderId="9" xfId="0" applyNumberFormat="1" applyFont="1" applyBorder="1" applyAlignment="1">
      <alignment horizontal="center" vertical="center"/>
    </xf>
    <xf numFmtId="167" fontId="6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5" fillId="0" borderId="5" xfId="0" applyFont="1" applyBorder="1"/>
    <xf numFmtId="0" fontId="5" fillId="0" borderId="11" xfId="0" applyFont="1" applyBorder="1"/>
    <xf numFmtId="0" fontId="5" fillId="0" borderId="9" xfId="0" applyFont="1" applyBorder="1"/>
    <xf numFmtId="165" fontId="12" fillId="0" borderId="1" xfId="0" applyNumberFormat="1" applyFont="1" applyBorder="1" applyAlignment="1">
      <alignment horizontal="center"/>
    </xf>
    <xf numFmtId="0" fontId="11" fillId="0" borderId="3" xfId="0" applyFont="1" applyBorder="1"/>
    <xf numFmtId="0" fontId="4" fillId="0" borderId="4" xfId="0" applyFont="1" applyBorder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0" fillId="0" borderId="0" xfId="0" applyFont="1" applyAlignment="1"/>
    <xf numFmtId="0" fontId="5" fillId="0" borderId="8" xfId="0" applyFont="1" applyBorder="1"/>
    <xf numFmtId="0" fontId="4" fillId="0" borderId="4" xfId="0" applyFont="1" applyBorder="1" applyAlignment="1">
      <alignment horizontal="center" vertical="center"/>
    </xf>
    <xf numFmtId="0" fontId="5" fillId="0" borderId="6" xfId="0" applyFont="1" applyBorder="1"/>
    <xf numFmtId="0" fontId="5" fillId="0" borderId="10" xfId="0" applyFont="1" applyBorder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167" fontId="10" fillId="0" borderId="0" xfId="0" applyNumberFormat="1" applyFont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7" fillId="0" borderId="0" xfId="0" applyFont="1" applyAlignment="1">
      <alignment horizontal="left" wrapText="1"/>
    </xf>
    <xf numFmtId="0" fontId="12" fillId="0" borderId="7" xfId="0" applyFont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6" fillId="0" borderId="5" xfId="0" applyFont="1" applyBorder="1" applyAlignment="1">
      <alignment horizontal="left" vertical="center" wrapText="1"/>
    </xf>
    <xf numFmtId="1" fontId="7" fillId="0" borderId="0" xfId="0" applyNumberFormat="1" applyFont="1" applyAlignment="1">
      <alignment horizontal="center" wrapText="1"/>
    </xf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1" xfId="0" applyFont="1" applyBorder="1" applyAlignment="1">
      <alignment horizontal="left" wrapText="1"/>
    </xf>
    <xf numFmtId="1" fontId="6" fillId="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2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9" fillId="0" borderId="4" xfId="0" applyFont="1" applyBorder="1" applyAlignment="1">
      <alignment horizontal="center"/>
    </xf>
    <xf numFmtId="0" fontId="11" fillId="0" borderId="5" xfId="0" applyFont="1" applyBorder="1"/>
    <xf numFmtId="2" fontId="9" fillId="0" borderId="2" xfId="0" applyNumberFormat="1" applyFont="1" applyBorder="1" applyAlignment="1">
      <alignment horizontal="center"/>
    </xf>
    <xf numFmtId="0" fontId="11" fillId="0" borderId="2" xfId="0" applyFont="1" applyBorder="1"/>
    <xf numFmtId="0" fontId="10" fillId="0" borderId="7" xfId="0" applyFont="1" applyBorder="1" applyAlignment="1">
      <alignment horizontal="center" vertical="top" wrapText="1"/>
    </xf>
    <xf numFmtId="0" fontId="10" fillId="0" borderId="4" xfId="0" applyFont="1" applyBorder="1" applyAlignment="1">
      <alignment horizontal="center" vertical="top" wrapText="1"/>
    </xf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9" fillId="0" borderId="5" xfId="0" applyFont="1" applyBorder="1" applyAlignment="1">
      <alignment horizontal="center"/>
    </xf>
    <xf numFmtId="165" fontId="12" fillId="0" borderId="4" xfId="0" applyNumberFormat="1" applyFont="1" applyBorder="1" applyAlignment="1">
      <alignment horizontal="center"/>
    </xf>
    <xf numFmtId="0" fontId="11" fillId="0" borderId="6" xfId="0" applyFont="1" applyBorder="1"/>
    <xf numFmtId="0" fontId="9" fillId="0" borderId="0" xfId="0" applyFont="1" applyAlignment="1">
      <alignment horizontal="center"/>
    </xf>
    <xf numFmtId="167" fontId="10" fillId="0" borderId="9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" fillId="0" borderId="37" xfId="0" applyFont="1" applyBorder="1" applyAlignment="1"/>
    <xf numFmtId="49" fontId="6" fillId="0" borderId="4" xfId="0" applyNumberFormat="1" applyFont="1" applyBorder="1" applyAlignment="1">
      <alignment horizontal="center" shrinkToFit="1"/>
    </xf>
    <xf numFmtId="49" fontId="6" fillId="0" borderId="5" xfId="0" applyNumberFormat="1" applyFont="1" applyBorder="1" applyAlignment="1">
      <alignment horizontal="center" shrinkToFit="1"/>
    </xf>
    <xf numFmtId="49" fontId="6" fillId="0" borderId="11" xfId="0" applyNumberFormat="1" applyFont="1" applyBorder="1" applyAlignment="1">
      <alignment horizontal="center" shrinkToFit="1"/>
    </xf>
    <xf numFmtId="49" fontId="6" fillId="0" borderId="9" xfId="0" applyNumberFormat="1" applyFont="1" applyBorder="1" applyAlignment="1">
      <alignment horizontal="center" shrinkToFit="1"/>
    </xf>
    <xf numFmtId="167" fontId="6" fillId="0" borderId="5" xfId="0" applyNumberFormat="1" applyFont="1" applyBorder="1" applyAlignment="1">
      <alignment horizontal="center"/>
    </xf>
    <xf numFmtId="167" fontId="6" fillId="0" borderId="6" xfId="0" applyNumberFormat="1" applyFont="1" applyBorder="1" applyAlignment="1">
      <alignment horizontal="center"/>
    </xf>
    <xf numFmtId="167" fontId="6" fillId="0" borderId="9" xfId="0" applyNumberFormat="1" applyFont="1" applyBorder="1" applyAlignment="1">
      <alignment horizontal="center"/>
    </xf>
    <xf numFmtId="167" fontId="6" fillId="0" borderId="10" xfId="0" applyNumberFormat="1" applyFont="1" applyBorder="1" applyAlignment="1">
      <alignment horizontal="center"/>
    </xf>
  </cellXfs>
  <cellStyles count="1">
    <cellStyle name="Normal" xfId="0" builtinId="0"/>
  </cellStyles>
  <dxfs count="9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FormSampel!$B$4" lockText="1" noThreeD="1"/>
</file>

<file path=xl/ctrlProps/ctrlProp2.xml><?xml version="1.0" encoding="utf-8"?>
<formControlPr xmlns="http://schemas.microsoft.com/office/spreadsheetml/2009/9/main" objectType="CheckBox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checked="Checked" fmlaLink="FormSampel!$B$4" lockText="1" noThreeD="1"/>
</file>

<file path=xl/ctrlProps/ctrlProp8.xml><?xml version="1.0" encoding="utf-8"?>
<formControlPr xmlns="http://schemas.microsoft.com/office/spreadsheetml/2009/9/main" objectType="CheckBox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checked="Checked" fmlaLink="FormSampel!$B$4" lockText="1" noThreeD="1"/>
</file>

<file path=xl/ctrlProps/ctrlProp14.xml><?xml version="1.0" encoding="utf-8"?>
<formControlPr xmlns="http://schemas.microsoft.com/office/spreadsheetml/2009/9/main" objectType="CheckBox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checked="Checked" fmlaLink="FormSampel!$B$4" lockText="1" noThreeD="1"/>
</file>

<file path=xl/ctrlProps/ctrlProp20.xml><?xml version="1.0" encoding="utf-8"?>
<formControlPr xmlns="http://schemas.microsoft.com/office/spreadsheetml/2009/9/main" objectType="CheckBox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checked="Checked" fmlaLink="FormSampel!$B$4" lockText="1" noThreeD="1"/>
</file>

<file path=xl/ctrlProps/ctrlProp26.xml><?xml version="1.0" encoding="utf-8"?>
<formControlPr xmlns="http://schemas.microsoft.com/office/spreadsheetml/2009/9/main" objectType="CheckBox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checked="Checked" fmlaLink="FormSampel!$B$4" lockText="1" noThreeD="1"/>
</file>

<file path=xl/ctrlProps/ctrlProp32.xml><?xml version="1.0" encoding="utf-8"?>
<formControlPr xmlns="http://schemas.microsoft.com/office/spreadsheetml/2009/9/main" objectType="CheckBox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checked="Checked" fmlaLink="FormSampel!$B$4" lockText="1" noThreeD="1"/>
</file>

<file path=xl/ctrlProps/ctrlProp38.xml><?xml version="1.0" encoding="utf-8"?>
<formControlPr xmlns="http://schemas.microsoft.com/office/spreadsheetml/2009/9/main" objectType="CheckBox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checked="Checked" fmlaLink="FormSampel!$B$4" lockText="1" noThreeD="1"/>
</file>

<file path=xl/ctrlProps/ctrlProp44.xml><?xml version="1.0" encoding="utf-8"?>
<formControlPr xmlns="http://schemas.microsoft.com/office/spreadsheetml/2009/9/main" objectType="CheckBox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checked="Checked" fmlaLink="FormSampel!$B$4" lockText="1" noThreeD="1"/>
</file>

<file path=xl/ctrlProps/ctrlProp50.xml><?xml version="1.0" encoding="utf-8"?>
<formControlPr xmlns="http://schemas.microsoft.com/office/spreadsheetml/2009/9/main" objectType="CheckBox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checked="Checked" fmlaLink="FormSampel!$B$4" lockText="1" noThreeD="1"/>
</file>

<file path=xl/ctrlProps/ctrlProp56.xml><?xml version="1.0" encoding="utf-8"?>
<formControlPr xmlns="http://schemas.microsoft.com/office/spreadsheetml/2009/9/main" objectType="CheckBox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checked="Checked" fmlaLink="FormSampel!$B$4" lockText="1" noThreeD="1"/>
</file>

<file path=xl/ctrlProps/ctrlProp62.xml><?xml version="1.0" encoding="utf-8"?>
<formControlPr xmlns="http://schemas.microsoft.com/office/spreadsheetml/2009/9/main" objectType="CheckBox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checked="Checked" fmlaLink="FormSampel!$B$4" lockText="1" noThreeD="1"/>
</file>

<file path=xl/ctrlProps/ctrlProp68.xml><?xml version="1.0" encoding="utf-8"?>
<formControlPr xmlns="http://schemas.microsoft.com/office/spreadsheetml/2009/9/main" objectType="CheckBox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checked="Checked" fmlaLink="FormSampel!$B$4" lockText="1" noThreeD="1"/>
</file>

<file path=xl/ctrlProps/ctrlProp74.xml><?xml version="1.0" encoding="utf-8"?>
<formControlPr xmlns="http://schemas.microsoft.com/office/spreadsheetml/2009/9/main" objectType="CheckBox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checked="Checked" fmlaLink="FormSampel!$B$4" lockText="1" noThreeD="1"/>
</file>

<file path=xl/ctrlProps/ctrlProp80.xml><?xml version="1.0" encoding="utf-8"?>
<formControlPr xmlns="http://schemas.microsoft.com/office/spreadsheetml/2009/9/main" objectType="CheckBox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checked="Checked" fmlaLink="FormSampel!$B$4" lockText="1" noThreeD="1"/>
</file>

<file path=xl/ctrlProps/ctrlProp86.xml><?xml version="1.0" encoding="utf-8"?>
<formControlPr xmlns="http://schemas.microsoft.com/office/spreadsheetml/2009/9/main" objectType="CheckBox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75"/>
  <sheetViews>
    <sheetView workbookViewId="0">
      <selection activeCell="I8" sqref="I8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style="77" customWidth="1"/>
    <col min="5" max="5" width="2.7109375" customWidth="1"/>
    <col min="6" max="6" width="10.42578125" bestFit="1" customWidth="1"/>
    <col min="7" max="7" width="15.7109375" bestFit="1" customWidth="1"/>
    <col min="9" max="9" width="13.28515625" customWidth="1"/>
    <col min="10" max="10" width="2.7109375" customWidth="1"/>
  </cols>
  <sheetData>
    <row r="1" spans="1:10" ht="15.75" customHeight="1" thickBot="1" x14ac:dyDescent="0.3">
      <c r="E1" s="89"/>
      <c r="F1" s="83" t="s">
        <v>89</v>
      </c>
      <c r="G1" s="80">
        <v>2024080245</v>
      </c>
      <c r="H1" s="71" t="s">
        <v>72</v>
      </c>
      <c r="I1" s="76">
        <v>6.4509999999999996</v>
      </c>
      <c r="J1" s="89"/>
    </row>
    <row r="2" spans="1:10" ht="15.75" customHeight="1" thickBot="1" x14ac:dyDescent="0.3">
      <c r="A2" s="61" t="s">
        <v>3</v>
      </c>
      <c r="B2" s="64">
        <v>110924</v>
      </c>
      <c r="E2" s="89"/>
      <c r="F2" s="84"/>
      <c r="G2" s="81"/>
      <c r="H2" s="72" t="s">
        <v>80</v>
      </c>
      <c r="I2" s="76">
        <v>2.3730000000000002</v>
      </c>
      <c r="J2" s="89"/>
    </row>
    <row r="3" spans="1:10" ht="15" customHeight="1" thickBot="1" x14ac:dyDescent="0.3">
      <c r="A3" s="60" t="s">
        <v>63</v>
      </c>
      <c r="B3" s="65" t="s">
        <v>65</v>
      </c>
      <c r="E3" s="89"/>
      <c r="F3" s="84"/>
      <c r="G3" s="81"/>
      <c r="H3" s="73" t="s">
        <v>14</v>
      </c>
      <c r="I3" s="76">
        <v>4.2009999999999996</v>
      </c>
      <c r="J3" s="89"/>
    </row>
    <row r="4" spans="1:10" ht="15.75" customHeight="1" thickBot="1" x14ac:dyDescent="0.3">
      <c r="A4" s="62" t="s">
        <v>64</v>
      </c>
      <c r="B4" s="46" t="b">
        <v>1</v>
      </c>
      <c r="E4" s="89"/>
      <c r="F4" s="85"/>
      <c r="G4" s="82"/>
      <c r="H4" s="74" t="s">
        <v>73</v>
      </c>
      <c r="I4" s="76">
        <v>263.06900000000002</v>
      </c>
      <c r="J4" s="89"/>
    </row>
    <row r="5" spans="1:10" ht="15.75" thickBot="1" x14ac:dyDescent="0.3">
      <c r="A5" s="47" t="s">
        <v>66</v>
      </c>
      <c r="B5" s="67" t="b">
        <v>0</v>
      </c>
      <c r="E5" s="89"/>
      <c r="F5" s="97"/>
      <c r="G5" s="97"/>
      <c r="H5" s="97"/>
      <c r="I5" s="97"/>
      <c r="J5" s="89"/>
    </row>
    <row r="6" spans="1:10" ht="15.75" thickBot="1" x14ac:dyDescent="0.3">
      <c r="A6" s="63" t="s">
        <v>67</v>
      </c>
      <c r="B6" s="69"/>
      <c r="E6" s="89"/>
      <c r="F6" s="83" t="s">
        <v>90</v>
      </c>
      <c r="G6" s="80"/>
      <c r="H6" s="71" t="s">
        <v>72</v>
      </c>
      <c r="I6" s="76"/>
      <c r="J6" s="89"/>
    </row>
    <row r="7" spans="1:10" ht="15.75" thickBot="1" x14ac:dyDescent="0.3">
      <c r="A7" s="62" t="s">
        <v>68</v>
      </c>
      <c r="B7" s="66" t="b">
        <v>1</v>
      </c>
      <c r="E7" s="89"/>
      <c r="F7" s="84"/>
      <c r="G7" s="81"/>
      <c r="H7" s="72" t="s">
        <v>80</v>
      </c>
      <c r="I7" s="76"/>
      <c r="J7" s="89"/>
    </row>
    <row r="8" spans="1:10" ht="15.75" thickBot="1" x14ac:dyDescent="0.3">
      <c r="A8" s="47" t="s">
        <v>88</v>
      </c>
      <c r="B8" s="67" t="b">
        <v>0</v>
      </c>
      <c r="E8" s="89"/>
      <c r="F8" s="84"/>
      <c r="G8" s="81"/>
      <c r="H8" s="73" t="s">
        <v>14</v>
      </c>
      <c r="I8" s="76"/>
      <c r="J8" s="89"/>
    </row>
    <row r="9" spans="1:10" ht="15.75" thickBot="1" x14ac:dyDescent="0.3">
      <c r="A9" s="63" t="s">
        <v>69</v>
      </c>
      <c r="B9" s="68"/>
      <c r="E9" s="89"/>
      <c r="F9" s="85"/>
      <c r="G9" s="82"/>
      <c r="H9" s="74" t="s">
        <v>73</v>
      </c>
      <c r="I9" s="76"/>
      <c r="J9" s="89"/>
    </row>
    <row r="10" spans="1:10" ht="15.75" thickBot="1" x14ac:dyDescent="0.3">
      <c r="A10" s="62" t="s">
        <v>70</v>
      </c>
      <c r="B10" s="66" t="b">
        <v>1</v>
      </c>
      <c r="E10" s="89"/>
      <c r="F10" s="97"/>
      <c r="G10" s="97"/>
      <c r="H10" s="97"/>
      <c r="I10" s="97"/>
      <c r="J10" s="89"/>
    </row>
    <row r="11" spans="1:10" ht="15.75" customHeight="1" thickBot="1" x14ac:dyDescent="0.3">
      <c r="A11" s="49" t="s">
        <v>71</v>
      </c>
      <c r="B11" s="67" t="b">
        <v>0</v>
      </c>
      <c r="E11" s="89"/>
      <c r="F11" s="83" t="s">
        <v>91</v>
      </c>
      <c r="G11" s="80"/>
      <c r="H11" s="71" t="s">
        <v>72</v>
      </c>
      <c r="I11" s="76"/>
      <c r="J11" s="89"/>
    </row>
    <row r="12" spans="1:10" ht="15" customHeight="1" thickBot="1" x14ac:dyDescent="0.3">
      <c r="A12" s="87" t="s">
        <v>42</v>
      </c>
      <c r="B12" s="90" t="s">
        <v>78</v>
      </c>
      <c r="C12" s="92" t="s">
        <v>79</v>
      </c>
      <c r="E12" s="89"/>
      <c r="F12" s="84"/>
      <c r="G12" s="81"/>
      <c r="H12" s="72" t="s">
        <v>80</v>
      </c>
      <c r="I12" s="76"/>
      <c r="J12" s="89"/>
    </row>
    <row r="13" spans="1:10" s="39" customFormat="1" ht="15" customHeight="1" thickBot="1" x14ac:dyDescent="0.3">
      <c r="A13" s="88"/>
      <c r="B13" s="91"/>
      <c r="C13" s="93"/>
      <c r="D13" s="77"/>
      <c r="E13" s="89"/>
      <c r="F13" s="84"/>
      <c r="G13" s="81"/>
      <c r="H13" s="73" t="s">
        <v>14</v>
      </c>
      <c r="I13" s="76"/>
      <c r="J13" s="89"/>
    </row>
    <row r="14" spans="1:10" ht="15.75" customHeight="1" thickBot="1" x14ac:dyDescent="0.3">
      <c r="A14" s="70" t="s">
        <v>72</v>
      </c>
      <c r="B14" s="46" t="s">
        <v>81</v>
      </c>
      <c r="C14" s="52">
        <v>45808</v>
      </c>
      <c r="E14" s="89"/>
      <c r="F14" s="85"/>
      <c r="G14" s="82"/>
      <c r="H14" s="74" t="s">
        <v>73</v>
      </c>
      <c r="I14" s="76"/>
      <c r="J14" s="89"/>
    </row>
    <row r="15" spans="1:10" ht="15.75" thickBot="1" x14ac:dyDescent="0.3">
      <c r="A15" s="78" t="s">
        <v>14</v>
      </c>
      <c r="B15" s="46" t="s">
        <v>82</v>
      </c>
      <c r="C15" s="52">
        <v>45716</v>
      </c>
      <c r="E15" s="89"/>
      <c r="F15" s="97"/>
      <c r="G15" s="97"/>
      <c r="H15" s="97"/>
      <c r="I15" s="97"/>
      <c r="J15" s="89"/>
    </row>
    <row r="16" spans="1:10" ht="15" customHeight="1" thickBot="1" x14ac:dyDescent="0.3">
      <c r="A16" s="78" t="s">
        <v>73</v>
      </c>
      <c r="B16" s="46" t="s">
        <v>83</v>
      </c>
      <c r="C16" s="52">
        <v>45688</v>
      </c>
      <c r="E16" s="89"/>
      <c r="F16" s="83" t="s">
        <v>92</v>
      </c>
      <c r="G16" s="80"/>
      <c r="H16" s="71" t="s">
        <v>72</v>
      </c>
      <c r="I16" s="76"/>
      <c r="J16" s="89"/>
    </row>
    <row r="17" spans="1:10" ht="15.75" customHeight="1" thickBot="1" x14ac:dyDescent="0.3">
      <c r="A17" s="79" t="s">
        <v>104</v>
      </c>
      <c r="B17" s="51" t="s">
        <v>84</v>
      </c>
      <c r="C17" s="53">
        <v>46142</v>
      </c>
      <c r="E17" s="89"/>
      <c r="F17" s="84"/>
      <c r="G17" s="81"/>
      <c r="H17" s="72" t="s">
        <v>80</v>
      </c>
      <c r="I17" s="76"/>
      <c r="J17" s="89"/>
    </row>
    <row r="18" spans="1:10" ht="15" customHeight="1" thickBot="1" x14ac:dyDescent="0.3">
      <c r="A18" s="59" t="s">
        <v>85</v>
      </c>
      <c r="B18" s="54"/>
      <c r="C18" s="55"/>
      <c r="E18" s="89"/>
      <c r="F18" s="84"/>
      <c r="G18" s="81"/>
      <c r="H18" s="73" t="s">
        <v>14</v>
      </c>
      <c r="I18" s="76"/>
      <c r="J18" s="89"/>
    </row>
    <row r="19" spans="1:10" ht="15.75" customHeight="1" thickBot="1" x14ac:dyDescent="0.3">
      <c r="A19" s="56" t="s">
        <v>86</v>
      </c>
      <c r="B19" s="159" t="s">
        <v>105</v>
      </c>
      <c r="C19" s="57"/>
      <c r="E19" s="89"/>
      <c r="F19" s="85"/>
      <c r="G19" s="82"/>
      <c r="H19" s="74" t="s">
        <v>73</v>
      </c>
      <c r="I19" s="76"/>
      <c r="J19" s="89"/>
    </row>
    <row r="20" spans="1:10" ht="15.75" thickBot="1" x14ac:dyDescent="0.3">
      <c r="A20" s="50" t="s">
        <v>87</v>
      </c>
      <c r="B20" s="58">
        <v>45546</v>
      </c>
      <c r="C20" s="48"/>
      <c r="E20" s="89"/>
      <c r="F20" s="97"/>
      <c r="G20" s="97"/>
      <c r="H20" s="97"/>
      <c r="I20" s="97"/>
      <c r="J20" s="89"/>
    </row>
    <row r="21" spans="1:10" ht="15" customHeight="1" thickBot="1" x14ac:dyDescent="0.3">
      <c r="E21" s="89"/>
      <c r="F21" s="94" t="s">
        <v>93</v>
      </c>
      <c r="G21" s="80"/>
      <c r="H21" s="71" t="s">
        <v>72</v>
      </c>
      <c r="I21" s="76"/>
      <c r="J21" s="89"/>
    </row>
    <row r="22" spans="1:10" ht="15" customHeight="1" thickBot="1" x14ac:dyDescent="0.3">
      <c r="E22" s="89"/>
      <c r="F22" s="95"/>
      <c r="G22" s="81"/>
      <c r="H22" s="72" t="s">
        <v>80</v>
      </c>
      <c r="I22" s="76"/>
      <c r="J22" s="89"/>
    </row>
    <row r="23" spans="1:10" ht="15" customHeight="1" thickBot="1" x14ac:dyDescent="0.3">
      <c r="E23" s="89"/>
      <c r="F23" s="95"/>
      <c r="G23" s="81"/>
      <c r="H23" s="73" t="s">
        <v>14</v>
      </c>
      <c r="I23" s="76"/>
      <c r="J23" s="89"/>
    </row>
    <row r="24" spans="1:10" ht="15.75" customHeight="1" thickBot="1" x14ac:dyDescent="0.3">
      <c r="E24" s="89"/>
      <c r="F24" s="96"/>
      <c r="G24" s="82"/>
      <c r="H24" s="74" t="s">
        <v>73</v>
      </c>
      <c r="I24" s="76"/>
      <c r="J24" s="89"/>
    </row>
    <row r="25" spans="1:10" ht="15.75" thickBot="1" x14ac:dyDescent="0.3">
      <c r="E25" s="89"/>
      <c r="F25" s="97"/>
      <c r="G25" s="97"/>
      <c r="H25" s="97"/>
      <c r="I25" s="97"/>
      <c r="J25" s="89"/>
    </row>
    <row r="26" spans="1:10" ht="15" customHeight="1" thickBot="1" x14ac:dyDescent="0.3">
      <c r="E26" s="89"/>
      <c r="F26" s="83" t="s">
        <v>94</v>
      </c>
      <c r="G26" s="80"/>
      <c r="H26" s="71" t="s">
        <v>72</v>
      </c>
      <c r="I26" s="76"/>
      <c r="J26" s="89"/>
    </row>
    <row r="27" spans="1:10" ht="15" customHeight="1" thickBot="1" x14ac:dyDescent="0.3">
      <c r="E27" s="89"/>
      <c r="F27" s="84"/>
      <c r="G27" s="81"/>
      <c r="H27" s="72" t="s">
        <v>80</v>
      </c>
      <c r="I27" s="76"/>
      <c r="J27" s="89"/>
    </row>
    <row r="28" spans="1:10" ht="15" customHeight="1" thickBot="1" x14ac:dyDescent="0.3">
      <c r="E28" s="89"/>
      <c r="F28" s="84"/>
      <c r="G28" s="81"/>
      <c r="H28" s="73" t="s">
        <v>14</v>
      </c>
      <c r="I28" s="76"/>
      <c r="J28" s="89"/>
    </row>
    <row r="29" spans="1:10" ht="15.75" customHeight="1" thickBot="1" x14ac:dyDescent="0.3">
      <c r="E29" s="89"/>
      <c r="F29" s="85"/>
      <c r="G29" s="82"/>
      <c r="H29" s="74" t="s">
        <v>73</v>
      </c>
      <c r="I29" s="76"/>
      <c r="J29" s="89"/>
    </row>
    <row r="30" spans="1:10" ht="15.75" thickBot="1" x14ac:dyDescent="0.3">
      <c r="E30" s="89"/>
      <c r="F30" s="97"/>
      <c r="G30" s="97"/>
      <c r="H30" s="97"/>
      <c r="I30" s="97"/>
      <c r="J30" s="89"/>
    </row>
    <row r="31" spans="1:10" ht="15" customHeight="1" thickBot="1" x14ac:dyDescent="0.3">
      <c r="E31" s="89"/>
      <c r="F31" s="83" t="s">
        <v>95</v>
      </c>
      <c r="G31" s="80"/>
      <c r="H31" s="71" t="s">
        <v>72</v>
      </c>
      <c r="I31" s="76"/>
      <c r="J31" s="89"/>
    </row>
    <row r="32" spans="1:10" ht="15" customHeight="1" thickBot="1" x14ac:dyDescent="0.3">
      <c r="E32" s="89"/>
      <c r="F32" s="84"/>
      <c r="G32" s="81"/>
      <c r="H32" s="72" t="s">
        <v>80</v>
      </c>
      <c r="I32" s="76"/>
      <c r="J32" s="89"/>
    </row>
    <row r="33" spans="5:10" ht="15" customHeight="1" thickBot="1" x14ac:dyDescent="0.3">
      <c r="E33" s="89"/>
      <c r="F33" s="84"/>
      <c r="G33" s="81"/>
      <c r="H33" s="73" t="s">
        <v>14</v>
      </c>
      <c r="I33" s="76"/>
      <c r="J33" s="89"/>
    </row>
    <row r="34" spans="5:10" ht="15.75" customHeight="1" thickBot="1" x14ac:dyDescent="0.3">
      <c r="E34" s="89"/>
      <c r="F34" s="85"/>
      <c r="G34" s="82"/>
      <c r="H34" s="74" t="s">
        <v>73</v>
      </c>
      <c r="I34" s="76"/>
      <c r="J34" s="89"/>
    </row>
    <row r="35" spans="5:10" ht="15.75" thickBot="1" x14ac:dyDescent="0.3">
      <c r="E35" s="89"/>
      <c r="F35" s="97"/>
      <c r="G35" s="97"/>
      <c r="H35" s="97"/>
      <c r="I35" s="97"/>
      <c r="J35" s="89"/>
    </row>
    <row r="36" spans="5:10" ht="15" customHeight="1" thickBot="1" x14ac:dyDescent="0.3">
      <c r="E36" s="89"/>
      <c r="F36" s="83" t="s">
        <v>96</v>
      </c>
      <c r="G36" s="80"/>
      <c r="H36" s="71" t="s">
        <v>72</v>
      </c>
      <c r="I36" s="76"/>
      <c r="J36" s="89"/>
    </row>
    <row r="37" spans="5:10" ht="15" customHeight="1" thickBot="1" x14ac:dyDescent="0.3">
      <c r="E37" s="89"/>
      <c r="F37" s="84"/>
      <c r="G37" s="81"/>
      <c r="H37" s="72" t="s">
        <v>80</v>
      </c>
      <c r="I37" s="76"/>
      <c r="J37" s="89"/>
    </row>
    <row r="38" spans="5:10" ht="15" customHeight="1" thickBot="1" x14ac:dyDescent="0.3">
      <c r="E38" s="89"/>
      <c r="F38" s="84"/>
      <c r="G38" s="81"/>
      <c r="H38" s="73" t="s">
        <v>14</v>
      </c>
      <c r="I38" s="76"/>
      <c r="J38" s="89"/>
    </row>
    <row r="39" spans="5:10" ht="15.75" customHeight="1" thickBot="1" x14ac:dyDescent="0.3">
      <c r="E39" s="89"/>
      <c r="F39" s="85"/>
      <c r="G39" s="82"/>
      <c r="H39" s="74" t="s">
        <v>73</v>
      </c>
      <c r="I39" s="76"/>
      <c r="J39" s="89"/>
    </row>
    <row r="40" spans="5:10" ht="15.75" thickBot="1" x14ac:dyDescent="0.3">
      <c r="E40" s="89"/>
      <c r="F40" s="97"/>
      <c r="G40" s="97"/>
      <c r="H40" s="97"/>
      <c r="I40" s="97"/>
      <c r="J40" s="89"/>
    </row>
    <row r="41" spans="5:10" ht="15" customHeight="1" thickBot="1" x14ac:dyDescent="0.3">
      <c r="E41" s="89"/>
      <c r="F41" s="83" t="s">
        <v>97</v>
      </c>
      <c r="G41" s="80"/>
      <c r="H41" s="71" t="s">
        <v>72</v>
      </c>
      <c r="I41" s="76"/>
      <c r="J41" s="89"/>
    </row>
    <row r="42" spans="5:10" ht="15" customHeight="1" thickBot="1" x14ac:dyDescent="0.3">
      <c r="E42" s="89"/>
      <c r="F42" s="84"/>
      <c r="G42" s="81"/>
      <c r="H42" s="72" t="s">
        <v>80</v>
      </c>
      <c r="I42" s="76"/>
      <c r="J42" s="89"/>
    </row>
    <row r="43" spans="5:10" ht="15" customHeight="1" thickBot="1" x14ac:dyDescent="0.3">
      <c r="E43" s="89"/>
      <c r="F43" s="84"/>
      <c r="G43" s="81"/>
      <c r="H43" s="73" t="s">
        <v>14</v>
      </c>
      <c r="I43" s="76"/>
      <c r="J43" s="89"/>
    </row>
    <row r="44" spans="5:10" ht="15.75" customHeight="1" thickBot="1" x14ac:dyDescent="0.3">
      <c r="E44" s="89"/>
      <c r="F44" s="85"/>
      <c r="G44" s="82"/>
      <c r="H44" s="74" t="s">
        <v>73</v>
      </c>
      <c r="I44" s="76"/>
      <c r="J44" s="89"/>
    </row>
    <row r="45" spans="5:10" ht="15.75" thickBot="1" x14ac:dyDescent="0.3">
      <c r="E45" s="89"/>
      <c r="F45" s="97"/>
      <c r="G45" s="97"/>
      <c r="H45" s="97"/>
      <c r="I45" s="97"/>
      <c r="J45" s="89"/>
    </row>
    <row r="46" spans="5:10" ht="15" customHeight="1" thickBot="1" x14ac:dyDescent="0.3">
      <c r="E46" s="89"/>
      <c r="F46" s="83" t="s">
        <v>98</v>
      </c>
      <c r="G46" s="80"/>
      <c r="H46" s="71" t="s">
        <v>72</v>
      </c>
      <c r="I46" s="76"/>
      <c r="J46" s="89"/>
    </row>
    <row r="47" spans="5:10" ht="15" customHeight="1" thickBot="1" x14ac:dyDescent="0.3">
      <c r="E47" s="89"/>
      <c r="F47" s="84"/>
      <c r="G47" s="81"/>
      <c r="H47" s="72" t="s">
        <v>80</v>
      </c>
      <c r="I47" s="76"/>
      <c r="J47" s="89"/>
    </row>
    <row r="48" spans="5:10" ht="15" customHeight="1" thickBot="1" x14ac:dyDescent="0.3">
      <c r="E48" s="89"/>
      <c r="F48" s="84"/>
      <c r="G48" s="81"/>
      <c r="H48" s="73" t="s">
        <v>14</v>
      </c>
      <c r="I48" s="76"/>
      <c r="J48" s="89"/>
    </row>
    <row r="49" spans="5:12" ht="15.75" customHeight="1" thickBot="1" x14ac:dyDescent="0.3">
      <c r="E49" s="89"/>
      <c r="F49" s="85"/>
      <c r="G49" s="82"/>
      <c r="H49" s="74" t="s">
        <v>73</v>
      </c>
      <c r="I49" s="76"/>
      <c r="J49" s="89"/>
    </row>
    <row r="50" spans="5:12" ht="15.75" thickBot="1" x14ac:dyDescent="0.3">
      <c r="E50" s="89"/>
      <c r="F50" s="86"/>
      <c r="G50" s="86"/>
      <c r="H50" s="86"/>
      <c r="I50" s="86"/>
      <c r="J50" s="89"/>
      <c r="K50" s="75"/>
      <c r="L50" s="75"/>
    </row>
    <row r="51" spans="5:12" ht="15" customHeight="1" thickBot="1" x14ac:dyDescent="0.3">
      <c r="E51" s="89"/>
      <c r="F51" s="83" t="s">
        <v>99</v>
      </c>
      <c r="G51" s="80"/>
      <c r="H51" s="71" t="s">
        <v>72</v>
      </c>
      <c r="I51" s="76"/>
      <c r="J51" s="89"/>
    </row>
    <row r="52" spans="5:12" ht="15" customHeight="1" thickBot="1" x14ac:dyDescent="0.3">
      <c r="E52" s="89"/>
      <c r="F52" s="84"/>
      <c r="G52" s="81"/>
      <c r="H52" s="72" t="s">
        <v>80</v>
      </c>
      <c r="I52" s="76"/>
      <c r="J52" s="89"/>
    </row>
    <row r="53" spans="5:12" ht="15" customHeight="1" thickBot="1" x14ac:dyDescent="0.3">
      <c r="E53" s="89"/>
      <c r="F53" s="84"/>
      <c r="G53" s="81"/>
      <c r="H53" s="73" t="s">
        <v>14</v>
      </c>
      <c r="I53" s="76"/>
      <c r="J53" s="89"/>
    </row>
    <row r="54" spans="5:12" ht="15.75" customHeight="1" thickBot="1" x14ac:dyDescent="0.3">
      <c r="E54" s="89"/>
      <c r="F54" s="85"/>
      <c r="G54" s="82"/>
      <c r="H54" s="74" t="s">
        <v>73</v>
      </c>
      <c r="I54" s="76"/>
      <c r="J54" s="89"/>
    </row>
    <row r="55" spans="5:12" ht="15.75" thickBot="1" x14ac:dyDescent="0.3">
      <c r="E55" s="89"/>
      <c r="F55" s="97"/>
      <c r="G55" s="97"/>
      <c r="H55" s="97"/>
      <c r="I55" s="97"/>
      <c r="J55" s="89"/>
    </row>
    <row r="56" spans="5:12" ht="15" customHeight="1" thickBot="1" x14ac:dyDescent="0.3">
      <c r="E56" s="89"/>
      <c r="F56" s="83" t="s">
        <v>100</v>
      </c>
      <c r="G56" s="80"/>
      <c r="H56" s="71" t="s">
        <v>72</v>
      </c>
      <c r="I56" s="76"/>
      <c r="J56" s="89"/>
    </row>
    <row r="57" spans="5:12" ht="15" customHeight="1" thickBot="1" x14ac:dyDescent="0.3">
      <c r="E57" s="89"/>
      <c r="F57" s="84"/>
      <c r="G57" s="81"/>
      <c r="H57" s="72" t="s">
        <v>80</v>
      </c>
      <c r="I57" s="76"/>
      <c r="J57" s="89"/>
    </row>
    <row r="58" spans="5:12" ht="15" customHeight="1" thickBot="1" x14ac:dyDescent="0.3">
      <c r="E58" s="89"/>
      <c r="F58" s="84"/>
      <c r="G58" s="81"/>
      <c r="H58" s="73" t="s">
        <v>14</v>
      </c>
      <c r="I58" s="76"/>
      <c r="J58" s="89"/>
    </row>
    <row r="59" spans="5:12" ht="15.75" customHeight="1" thickBot="1" x14ac:dyDescent="0.3">
      <c r="E59" s="89"/>
      <c r="F59" s="85"/>
      <c r="G59" s="82"/>
      <c r="H59" s="74" t="s">
        <v>73</v>
      </c>
      <c r="I59" s="76"/>
      <c r="J59" s="89"/>
    </row>
    <row r="60" spans="5:12" ht="15.75" thickBot="1" x14ac:dyDescent="0.3">
      <c r="E60" s="89"/>
      <c r="F60" s="97"/>
      <c r="G60" s="97"/>
      <c r="H60" s="97"/>
      <c r="I60" s="97"/>
      <c r="J60" s="89"/>
    </row>
    <row r="61" spans="5:12" ht="15" customHeight="1" thickBot="1" x14ac:dyDescent="0.3">
      <c r="E61" s="89"/>
      <c r="F61" s="83" t="s">
        <v>101</v>
      </c>
      <c r="G61" s="80"/>
      <c r="H61" s="71" t="s">
        <v>72</v>
      </c>
      <c r="I61" s="76"/>
      <c r="J61" s="89"/>
    </row>
    <row r="62" spans="5:12" ht="15" customHeight="1" thickBot="1" x14ac:dyDescent="0.3">
      <c r="E62" s="89"/>
      <c r="F62" s="84"/>
      <c r="G62" s="81"/>
      <c r="H62" s="72" t="s">
        <v>80</v>
      </c>
      <c r="I62" s="76"/>
      <c r="J62" s="89"/>
    </row>
    <row r="63" spans="5:12" ht="15" customHeight="1" thickBot="1" x14ac:dyDescent="0.3">
      <c r="E63" s="89"/>
      <c r="F63" s="84"/>
      <c r="G63" s="81"/>
      <c r="H63" s="73" t="s">
        <v>14</v>
      </c>
      <c r="I63" s="76"/>
      <c r="J63" s="89"/>
    </row>
    <row r="64" spans="5:12" ht="15.75" customHeight="1" thickBot="1" x14ac:dyDescent="0.3">
      <c r="E64" s="89"/>
      <c r="F64" s="85"/>
      <c r="G64" s="82"/>
      <c r="H64" s="74" t="s">
        <v>73</v>
      </c>
      <c r="I64" s="76"/>
      <c r="J64" s="89"/>
    </row>
    <row r="65" spans="5:10" ht="15.75" thickBot="1" x14ac:dyDescent="0.3">
      <c r="E65" s="89"/>
      <c r="F65" s="97"/>
      <c r="G65" s="97"/>
      <c r="H65" s="97"/>
      <c r="I65" s="97"/>
      <c r="J65" s="89"/>
    </row>
    <row r="66" spans="5:10" ht="15" customHeight="1" thickBot="1" x14ac:dyDescent="0.3">
      <c r="E66" s="89"/>
      <c r="F66" s="83" t="s">
        <v>102</v>
      </c>
      <c r="G66" s="80"/>
      <c r="H66" s="71" t="s">
        <v>72</v>
      </c>
      <c r="I66" s="76"/>
      <c r="J66" s="89"/>
    </row>
    <row r="67" spans="5:10" ht="15" customHeight="1" thickBot="1" x14ac:dyDescent="0.3">
      <c r="E67" s="89"/>
      <c r="F67" s="84"/>
      <c r="G67" s="81"/>
      <c r="H67" s="72" t="s">
        <v>80</v>
      </c>
      <c r="I67" s="76"/>
      <c r="J67" s="89"/>
    </row>
    <row r="68" spans="5:10" ht="15" customHeight="1" thickBot="1" x14ac:dyDescent="0.3">
      <c r="E68" s="89"/>
      <c r="F68" s="84"/>
      <c r="G68" s="81"/>
      <c r="H68" s="73" t="s">
        <v>14</v>
      </c>
      <c r="I68" s="76"/>
      <c r="J68" s="89"/>
    </row>
    <row r="69" spans="5:10" ht="15.75" customHeight="1" thickBot="1" x14ac:dyDescent="0.3">
      <c r="E69" s="89"/>
      <c r="F69" s="85"/>
      <c r="G69" s="82"/>
      <c r="H69" s="74" t="s">
        <v>73</v>
      </c>
      <c r="I69" s="76"/>
      <c r="J69" s="89"/>
    </row>
    <row r="70" spans="5:10" ht="15.75" thickBot="1" x14ac:dyDescent="0.3">
      <c r="E70" s="89"/>
      <c r="F70" s="97"/>
      <c r="G70" s="97"/>
      <c r="H70" s="97"/>
      <c r="I70" s="97"/>
      <c r="J70" s="89"/>
    </row>
    <row r="71" spans="5:10" ht="15" customHeight="1" thickBot="1" x14ac:dyDescent="0.3">
      <c r="E71" s="89"/>
      <c r="F71" s="83" t="s">
        <v>103</v>
      </c>
      <c r="G71" s="80"/>
      <c r="H71" s="71" t="s">
        <v>72</v>
      </c>
      <c r="I71" s="76"/>
      <c r="J71" s="89"/>
    </row>
    <row r="72" spans="5:10" ht="15" customHeight="1" thickBot="1" x14ac:dyDescent="0.3">
      <c r="E72" s="89"/>
      <c r="F72" s="84"/>
      <c r="G72" s="81"/>
      <c r="H72" s="72" t="s">
        <v>80</v>
      </c>
      <c r="I72" s="76"/>
      <c r="J72" s="89"/>
    </row>
    <row r="73" spans="5:10" ht="15" customHeight="1" thickBot="1" x14ac:dyDescent="0.3">
      <c r="E73" s="89"/>
      <c r="F73" s="84"/>
      <c r="G73" s="81"/>
      <c r="H73" s="73" t="s">
        <v>14</v>
      </c>
      <c r="I73" s="76"/>
      <c r="J73" s="89"/>
    </row>
    <row r="74" spans="5:10" ht="15.75" customHeight="1" thickBot="1" x14ac:dyDescent="0.3">
      <c r="E74" s="89"/>
      <c r="F74" s="85"/>
      <c r="G74" s="82"/>
      <c r="H74" s="74" t="s">
        <v>73</v>
      </c>
      <c r="I74" s="76"/>
      <c r="J74" s="89"/>
    </row>
    <row r="75" spans="5:10" x14ac:dyDescent="0.25">
      <c r="E75" s="89"/>
      <c r="F75" s="89"/>
      <c r="G75" s="89"/>
      <c r="H75" s="89"/>
      <c r="I75" s="89"/>
      <c r="J75" s="89"/>
    </row>
  </sheetData>
  <mergeCells count="50">
    <mergeCell ref="E75:J75"/>
    <mergeCell ref="J1:J74"/>
    <mergeCell ref="F5:I5"/>
    <mergeCell ref="F30:I30"/>
    <mergeCell ref="F25:I25"/>
    <mergeCell ref="F20:I20"/>
    <mergeCell ref="F15:I15"/>
    <mergeCell ref="F10:I10"/>
    <mergeCell ref="F70:I70"/>
    <mergeCell ref="F65:I65"/>
    <mergeCell ref="F60:I60"/>
    <mergeCell ref="F55:I55"/>
    <mergeCell ref="F45:I45"/>
    <mergeCell ref="F40:I40"/>
    <mergeCell ref="F35:I35"/>
    <mergeCell ref="F31:F34"/>
    <mergeCell ref="A12:A13"/>
    <mergeCell ref="G1:G4"/>
    <mergeCell ref="F1:F4"/>
    <mergeCell ref="F6:F9"/>
    <mergeCell ref="G6:G9"/>
    <mergeCell ref="F11:F14"/>
    <mergeCell ref="G11:G14"/>
    <mergeCell ref="E1:E74"/>
    <mergeCell ref="B12:B13"/>
    <mergeCell ref="C12:C13"/>
    <mergeCell ref="F16:F19"/>
    <mergeCell ref="G16:G19"/>
    <mergeCell ref="F21:F24"/>
    <mergeCell ref="G21:G24"/>
    <mergeCell ref="F26:F29"/>
    <mergeCell ref="G26:G29"/>
    <mergeCell ref="G31:G34"/>
    <mergeCell ref="F36:F39"/>
    <mergeCell ref="G36:G39"/>
    <mergeCell ref="F41:F44"/>
    <mergeCell ref="G41:G44"/>
    <mergeCell ref="G71:G74"/>
    <mergeCell ref="F46:F49"/>
    <mergeCell ref="G46:G49"/>
    <mergeCell ref="F51:F54"/>
    <mergeCell ref="G51:G54"/>
    <mergeCell ref="F56:F59"/>
    <mergeCell ref="G56:G59"/>
    <mergeCell ref="F50:I50"/>
    <mergeCell ref="F61:F64"/>
    <mergeCell ref="G61:G64"/>
    <mergeCell ref="F66:F69"/>
    <mergeCell ref="G66:G69"/>
    <mergeCell ref="F71:F74"/>
  </mergeCells>
  <conditionalFormatting sqref="B4">
    <cfRule type="cellIs" dxfId="96" priority="98" operator="equal">
      <formula>FALSE</formula>
    </cfRule>
    <cfRule type="cellIs" dxfId="95" priority="99" operator="equal">
      <formula>TRUE</formula>
    </cfRule>
    <cfRule type="cellIs" dxfId="94" priority="6" operator="equal">
      <formula>"Sila Pilih"</formula>
    </cfRule>
  </conditionalFormatting>
  <conditionalFormatting sqref="B5">
    <cfRule type="cellIs" dxfId="93" priority="96" operator="equal">
      <formula>FALSE</formula>
    </cfRule>
    <cfRule type="cellIs" dxfId="92" priority="97" operator="equal">
      <formula>TRUE</formula>
    </cfRule>
    <cfRule type="cellIs" dxfId="91" priority="5" operator="equal">
      <formula>"Sila Pilih"</formula>
    </cfRule>
  </conditionalFormatting>
  <conditionalFormatting sqref="B7">
    <cfRule type="cellIs" dxfId="90" priority="94" operator="equal">
      <formula>FALSE</formula>
    </cfRule>
    <cfRule type="cellIs" dxfId="89" priority="95" operator="equal">
      <formula>TRUE</formula>
    </cfRule>
    <cfRule type="cellIs" dxfId="88" priority="4" operator="equal">
      <formula>"Sila Pilih"</formula>
    </cfRule>
  </conditionalFormatting>
  <conditionalFormatting sqref="B8">
    <cfRule type="cellIs" dxfId="87" priority="92" operator="equal">
      <formula>FALSE</formula>
    </cfRule>
    <cfRule type="cellIs" dxfId="86" priority="93" operator="equal">
      <formula>TRUE</formula>
    </cfRule>
    <cfRule type="cellIs" dxfId="85" priority="3" operator="equal">
      <formula>"Sila Pilih"</formula>
    </cfRule>
  </conditionalFormatting>
  <conditionalFormatting sqref="B10">
    <cfRule type="cellIs" dxfId="84" priority="90" operator="equal">
      <formula>FALSE</formula>
    </cfRule>
    <cfRule type="cellIs" dxfId="83" priority="91" operator="equal">
      <formula>TRUE</formula>
    </cfRule>
    <cfRule type="cellIs" dxfId="82" priority="2" operator="equal">
      <formula>"Sila Pilih"</formula>
    </cfRule>
  </conditionalFormatting>
  <conditionalFormatting sqref="B11">
    <cfRule type="cellIs" dxfId="81" priority="88" operator="equal">
      <formula>FALSE</formula>
    </cfRule>
    <cfRule type="cellIs" dxfId="80" priority="89" operator="equal">
      <formula>TRUE</formula>
    </cfRule>
    <cfRule type="cellIs" dxfId="79" priority="1" operator="equal">
      <formula>"Sila Pilih"</formula>
    </cfRule>
  </conditionalFormatting>
  <conditionalFormatting sqref="B2">
    <cfRule type="expression" dxfId="78" priority="87">
      <formula>LEN(B2)=0</formula>
    </cfRule>
  </conditionalFormatting>
  <conditionalFormatting sqref="B14:C17">
    <cfRule type="expression" dxfId="77" priority="86">
      <formula>LEN(B14:C17)=0</formula>
    </cfRule>
  </conditionalFormatting>
  <conditionalFormatting sqref="B19">
    <cfRule type="expression" dxfId="76" priority="85">
      <formula>LEN(B19)=0</formula>
    </cfRule>
  </conditionalFormatting>
  <conditionalFormatting sqref="B20">
    <cfRule type="expression" dxfId="75" priority="84">
      <formula>LEN(B20)=0</formula>
    </cfRule>
  </conditionalFormatting>
  <conditionalFormatting sqref="G6:G9 G71">
    <cfRule type="expression" dxfId="74" priority="82">
      <formula>LEN(G6:G9)=0</formula>
    </cfRule>
  </conditionalFormatting>
  <conditionalFormatting sqref="G1:G4">
    <cfRule type="expression" dxfId="73" priority="81">
      <formula>LEN(G1:G4)=0</formula>
    </cfRule>
  </conditionalFormatting>
  <conditionalFormatting sqref="G11:G14">
    <cfRule type="expression" dxfId="72" priority="80">
      <formula>LEN(G11:G14)=0</formula>
    </cfRule>
  </conditionalFormatting>
  <conditionalFormatting sqref="G16:G19">
    <cfRule type="expression" dxfId="71" priority="78">
      <formula>LEN(G16:G19)=0</formula>
    </cfRule>
  </conditionalFormatting>
  <conditionalFormatting sqref="G21:G24">
    <cfRule type="expression" dxfId="70" priority="77">
      <formula>LEN(G21:G24)=0</formula>
    </cfRule>
  </conditionalFormatting>
  <conditionalFormatting sqref="G26:G29">
    <cfRule type="expression" dxfId="69" priority="76">
      <formula>LEN(G26:G29)=0</formula>
    </cfRule>
  </conditionalFormatting>
  <conditionalFormatting sqref="G31:G34">
    <cfRule type="expression" dxfId="68" priority="75">
      <formula>LEN(G31:G34)=0</formula>
    </cfRule>
  </conditionalFormatting>
  <conditionalFormatting sqref="G36:G39">
    <cfRule type="expression" dxfId="67" priority="74">
      <formula>LEN(G36:G39)=0</formula>
    </cfRule>
  </conditionalFormatting>
  <conditionalFormatting sqref="G41:G44">
    <cfRule type="expression" dxfId="66" priority="73">
      <formula>LEN(G41:G44)=0</formula>
    </cfRule>
  </conditionalFormatting>
  <conditionalFormatting sqref="G46:G49">
    <cfRule type="expression" dxfId="65" priority="72">
      <formula>LEN(G46:G49)=0</formula>
    </cfRule>
  </conditionalFormatting>
  <conditionalFormatting sqref="G51:G54">
    <cfRule type="expression" dxfId="64" priority="71">
      <formula>LEN(G51:G54)=0</formula>
    </cfRule>
  </conditionalFormatting>
  <conditionalFormatting sqref="G56:G59">
    <cfRule type="expression" dxfId="63" priority="70">
      <formula>LEN(G56:G59)=0</formula>
    </cfRule>
  </conditionalFormatting>
  <conditionalFormatting sqref="G61:G64">
    <cfRule type="expression" dxfId="62" priority="69">
      <formula>LEN(G61:G64)=0</formula>
    </cfRule>
  </conditionalFormatting>
  <conditionalFormatting sqref="G66:G69">
    <cfRule type="expression" dxfId="61" priority="68">
      <formula>LEN(G66:G69)=0</formula>
    </cfRule>
  </conditionalFormatting>
  <conditionalFormatting sqref="G72:G74">
    <cfRule type="expression" dxfId="60" priority="101">
      <formula>LEN(G72:G74)=0</formula>
    </cfRule>
  </conditionalFormatting>
  <conditionalFormatting sqref="I1">
    <cfRule type="expression" dxfId="59" priority="66">
      <formula>LEN(I1)=0</formula>
    </cfRule>
  </conditionalFormatting>
  <conditionalFormatting sqref="I2">
    <cfRule type="expression" dxfId="58" priority="65">
      <formula>LEN(I2)=0</formula>
    </cfRule>
  </conditionalFormatting>
  <conditionalFormatting sqref="I3">
    <cfRule type="expression" dxfId="57" priority="64">
      <formula>LEN(I3)=0</formula>
    </cfRule>
  </conditionalFormatting>
  <conditionalFormatting sqref="I4">
    <cfRule type="expression" dxfId="56" priority="63">
      <formula>LEN(I4)=0</formula>
    </cfRule>
  </conditionalFormatting>
  <conditionalFormatting sqref="I6">
    <cfRule type="expression" dxfId="55" priority="62">
      <formula>LEN(I6)=0</formula>
    </cfRule>
  </conditionalFormatting>
  <conditionalFormatting sqref="I7">
    <cfRule type="expression" dxfId="54" priority="61">
      <formula>LEN(I7)=0</formula>
    </cfRule>
  </conditionalFormatting>
  <conditionalFormatting sqref="I8">
    <cfRule type="expression" dxfId="53" priority="60">
      <formula>LEN(I8)=0</formula>
    </cfRule>
  </conditionalFormatting>
  <conditionalFormatting sqref="I9">
    <cfRule type="expression" dxfId="52" priority="59">
      <formula>LEN(I9)=0</formula>
    </cfRule>
  </conditionalFormatting>
  <conditionalFormatting sqref="I11">
    <cfRule type="expression" dxfId="51" priority="58">
      <formula>LEN(I11)=0</formula>
    </cfRule>
  </conditionalFormatting>
  <conditionalFormatting sqref="I12">
    <cfRule type="expression" dxfId="50" priority="57">
      <formula>LEN(I12)=0</formula>
    </cfRule>
  </conditionalFormatting>
  <conditionalFormatting sqref="I13">
    <cfRule type="expression" dxfId="49" priority="56">
      <formula>LEN(I13)=0</formula>
    </cfRule>
  </conditionalFormatting>
  <conditionalFormatting sqref="I14">
    <cfRule type="expression" dxfId="48" priority="55">
      <formula>LEN(I14)=0</formula>
    </cfRule>
  </conditionalFormatting>
  <conditionalFormatting sqref="I16">
    <cfRule type="expression" dxfId="47" priority="54">
      <formula>LEN(I16)=0</formula>
    </cfRule>
  </conditionalFormatting>
  <conditionalFormatting sqref="I17">
    <cfRule type="expression" dxfId="46" priority="53">
      <formula>LEN(I17)=0</formula>
    </cfRule>
  </conditionalFormatting>
  <conditionalFormatting sqref="I18">
    <cfRule type="expression" dxfId="45" priority="52">
      <formula>LEN(I18)=0</formula>
    </cfRule>
  </conditionalFormatting>
  <conditionalFormatting sqref="I19">
    <cfRule type="expression" dxfId="44" priority="51">
      <formula>LEN(I19)=0</formula>
    </cfRule>
  </conditionalFormatting>
  <conditionalFormatting sqref="I21">
    <cfRule type="expression" dxfId="43" priority="50">
      <formula>LEN(I21)=0</formula>
    </cfRule>
  </conditionalFormatting>
  <conditionalFormatting sqref="I22">
    <cfRule type="expression" dxfId="42" priority="49">
      <formula>LEN(I22)=0</formula>
    </cfRule>
  </conditionalFormatting>
  <conditionalFormatting sqref="I23">
    <cfRule type="expression" dxfId="41" priority="48">
      <formula>LEN(I23)=0</formula>
    </cfRule>
  </conditionalFormatting>
  <conditionalFormatting sqref="I24">
    <cfRule type="expression" dxfId="40" priority="47">
      <formula>LEN(I24)=0</formula>
    </cfRule>
  </conditionalFormatting>
  <conditionalFormatting sqref="I26">
    <cfRule type="expression" dxfId="39" priority="46">
      <formula>LEN(I26)=0</formula>
    </cfRule>
  </conditionalFormatting>
  <conditionalFormatting sqref="I27">
    <cfRule type="expression" dxfId="38" priority="45">
      <formula>LEN(I27)=0</formula>
    </cfRule>
  </conditionalFormatting>
  <conditionalFormatting sqref="I28">
    <cfRule type="expression" dxfId="37" priority="44">
      <formula>LEN(I28)=0</formula>
    </cfRule>
  </conditionalFormatting>
  <conditionalFormatting sqref="I29">
    <cfRule type="expression" dxfId="36" priority="43">
      <formula>LEN(I29)=0</formula>
    </cfRule>
  </conditionalFormatting>
  <conditionalFormatting sqref="I31">
    <cfRule type="expression" dxfId="35" priority="42">
      <formula>LEN(I31)=0</formula>
    </cfRule>
  </conditionalFormatting>
  <conditionalFormatting sqref="I32">
    <cfRule type="expression" dxfId="34" priority="41">
      <formula>LEN(I32)=0</formula>
    </cfRule>
  </conditionalFormatting>
  <conditionalFormatting sqref="I33">
    <cfRule type="expression" dxfId="33" priority="40">
      <formula>LEN(I33)=0</formula>
    </cfRule>
  </conditionalFormatting>
  <conditionalFormatting sqref="I34">
    <cfRule type="expression" dxfId="32" priority="39">
      <formula>LEN(I34)=0</formula>
    </cfRule>
  </conditionalFormatting>
  <conditionalFormatting sqref="I36">
    <cfRule type="expression" dxfId="31" priority="38">
      <formula>LEN(I36)=0</formula>
    </cfRule>
  </conditionalFormatting>
  <conditionalFormatting sqref="I37">
    <cfRule type="expression" dxfId="30" priority="37">
      <formula>LEN(I37)=0</formula>
    </cfRule>
  </conditionalFormatting>
  <conditionalFormatting sqref="I38">
    <cfRule type="expression" dxfId="29" priority="36">
      <formula>LEN(I38)=0</formula>
    </cfRule>
  </conditionalFormatting>
  <conditionalFormatting sqref="I39">
    <cfRule type="expression" dxfId="28" priority="35">
      <formula>LEN(I39)=0</formula>
    </cfRule>
  </conditionalFormatting>
  <conditionalFormatting sqref="I41">
    <cfRule type="expression" dxfId="27" priority="34">
      <formula>LEN(I41)=0</formula>
    </cfRule>
  </conditionalFormatting>
  <conditionalFormatting sqref="I42">
    <cfRule type="expression" dxfId="26" priority="33">
      <formula>LEN(I42)=0</formula>
    </cfRule>
  </conditionalFormatting>
  <conditionalFormatting sqref="I43">
    <cfRule type="expression" dxfId="25" priority="32">
      <formula>LEN(I43)=0</formula>
    </cfRule>
  </conditionalFormatting>
  <conditionalFormatting sqref="I44">
    <cfRule type="expression" dxfId="24" priority="31">
      <formula>LEN(I44)=0</formula>
    </cfRule>
  </conditionalFormatting>
  <conditionalFormatting sqref="I46">
    <cfRule type="expression" dxfId="23" priority="30">
      <formula>LEN(I46)=0</formula>
    </cfRule>
  </conditionalFormatting>
  <conditionalFormatting sqref="I47">
    <cfRule type="expression" dxfId="22" priority="29">
      <formula>LEN(I47)=0</formula>
    </cfRule>
  </conditionalFormatting>
  <conditionalFormatting sqref="I48">
    <cfRule type="expression" dxfId="21" priority="28">
      <formula>LEN(I48)=0</formula>
    </cfRule>
  </conditionalFormatting>
  <conditionalFormatting sqref="I49">
    <cfRule type="expression" dxfId="20" priority="27">
      <formula>LEN(I49)=0</formula>
    </cfRule>
  </conditionalFormatting>
  <conditionalFormatting sqref="I51">
    <cfRule type="expression" dxfId="19" priority="26">
      <formula>LEN(I51)=0</formula>
    </cfRule>
  </conditionalFormatting>
  <conditionalFormatting sqref="I52">
    <cfRule type="expression" dxfId="18" priority="25">
      <formula>LEN(I52)=0</formula>
    </cfRule>
  </conditionalFormatting>
  <conditionalFormatting sqref="I53">
    <cfRule type="expression" dxfId="17" priority="24">
      <formula>LEN(I53)=0</formula>
    </cfRule>
  </conditionalFormatting>
  <conditionalFormatting sqref="I54">
    <cfRule type="expression" dxfId="16" priority="23">
      <formula>LEN(I54)=0</formula>
    </cfRule>
  </conditionalFormatting>
  <conditionalFormatting sqref="I56">
    <cfRule type="expression" dxfId="15" priority="22">
      <formula>LEN(I56)=0</formula>
    </cfRule>
  </conditionalFormatting>
  <conditionalFormatting sqref="I57">
    <cfRule type="expression" dxfId="14" priority="21">
      <formula>LEN(I57)=0</formula>
    </cfRule>
  </conditionalFormatting>
  <conditionalFormatting sqref="I58">
    <cfRule type="expression" dxfId="13" priority="20">
      <formula>LEN(I58)=0</formula>
    </cfRule>
  </conditionalFormatting>
  <conditionalFormatting sqref="I59">
    <cfRule type="expression" dxfId="12" priority="19">
      <formula>LEN(I59)=0</formula>
    </cfRule>
  </conditionalFormatting>
  <conditionalFormatting sqref="I61">
    <cfRule type="expression" dxfId="11" priority="18">
      <formula>LEN(I61)=0</formula>
    </cfRule>
  </conditionalFormatting>
  <conditionalFormatting sqref="I62">
    <cfRule type="expression" dxfId="10" priority="17">
      <formula>LEN(I62)=0</formula>
    </cfRule>
  </conditionalFormatting>
  <conditionalFormatting sqref="I63">
    <cfRule type="expression" dxfId="9" priority="16">
      <formula>LEN(I63)=0</formula>
    </cfRule>
  </conditionalFormatting>
  <conditionalFormatting sqref="I64">
    <cfRule type="expression" dxfId="8" priority="15">
      <formula>LEN(I64)=0</formula>
    </cfRule>
  </conditionalFormatting>
  <conditionalFormatting sqref="I66">
    <cfRule type="expression" dxfId="7" priority="14">
      <formula>LEN(I66)=0</formula>
    </cfRule>
  </conditionalFormatting>
  <conditionalFormatting sqref="I67">
    <cfRule type="expression" dxfId="6" priority="13">
      <formula>LEN(I67)=0</formula>
    </cfRule>
  </conditionalFormatting>
  <conditionalFormatting sqref="I68">
    <cfRule type="expression" dxfId="5" priority="12">
      <formula>LEN(I68)=0</formula>
    </cfRule>
  </conditionalFormatting>
  <conditionalFormatting sqref="I69">
    <cfRule type="expression" dxfId="4" priority="11">
      <formula>LEN(I69)=0</formula>
    </cfRule>
  </conditionalFormatting>
  <conditionalFormatting sqref="I71">
    <cfRule type="expression" dxfId="3" priority="10">
      <formula>LEN(I71)=0</formula>
    </cfRule>
  </conditionalFormatting>
  <conditionalFormatting sqref="I72">
    <cfRule type="expression" dxfId="2" priority="9">
      <formula>LEN(I72)=0</formula>
    </cfRule>
  </conditionalFormatting>
  <conditionalFormatting sqref="I73">
    <cfRule type="expression" dxfId="1" priority="8">
      <formula>LEN(I73)=0</formula>
    </cfRule>
  </conditionalFormatting>
  <conditionalFormatting sqref="I74">
    <cfRule type="expression" dxfId="0" priority="7">
      <formula>LEN(I74)=0</formula>
    </cfRule>
  </conditionalFormatting>
  <dataValidations count="2">
    <dataValidation type="list" allowBlank="1" showInputMessage="1" showErrorMessage="1" sqref="B11 B5 B7">
      <formula1>"Sila Pilih, TRUE,FALSE"</formula1>
    </dataValidation>
    <dataValidation type="list" allowBlank="1" showInputMessage="1" showErrorMessage="1" sqref="B4 B8 B10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4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FormSampel!G1</f>
        <v>2024080245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5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3"/>
      <c r="B17" s="2"/>
      <c r="C17" s="13"/>
      <c r="D17" s="13"/>
      <c r="E17" s="13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FormSampel!I1</f>
        <v>6.4509999999999996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6.4509999999999993E-3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FormSampel!I2</f>
        <v>2.3730000000000002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2.3730000000000001E-3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FormSampel!I3</f>
        <v>4.2009999999999996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4.2009999999999999E-3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FormSampel!I4</f>
        <v>263.06900000000002</v>
      </c>
      <c r="D29" s="30" t="s">
        <v>50</v>
      </c>
      <c r="E29" s="36">
        <v>1000</v>
      </c>
      <c r="F29" s="152" t="s">
        <v>51</v>
      </c>
      <c r="G29" s="114"/>
      <c r="H29" s="142">
        <f>IF(AND(C30&lt;0.15),"&lt;0.15",C30)</f>
        <v>0.263069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0.263069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160" t="str">
        <f>FormSampel!B19</f>
        <v>PERMIT              MAISARAH</v>
      </c>
      <c r="G38" s="161"/>
      <c r="H38" s="164">
        <f>FormSampel!B20</f>
        <v>45546</v>
      </c>
      <c r="I38" s="164"/>
      <c r="J38" s="165"/>
    </row>
    <row r="39" spans="1:26" ht="11.25" customHeight="1" x14ac:dyDescent="0.25">
      <c r="A39" s="108"/>
      <c r="B39" s="109"/>
      <c r="C39" s="109"/>
      <c r="D39" s="109"/>
      <c r="E39" s="118"/>
      <c r="F39" s="162"/>
      <c r="G39" s="163"/>
      <c r="H39" s="166"/>
      <c r="I39" s="166"/>
      <c r="J39" s="167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I17:J17"/>
    <mergeCell ref="I18:J18"/>
    <mergeCell ref="A19:J19"/>
    <mergeCell ref="G18:H18"/>
    <mergeCell ref="G17:H17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I15:J15"/>
    <mergeCell ref="A16:B16"/>
    <mergeCell ref="C16:E16"/>
    <mergeCell ref="I16:J16"/>
    <mergeCell ref="G15:H15"/>
    <mergeCell ref="G16:H16"/>
    <mergeCell ref="F38:G39"/>
    <mergeCell ref="H38:J39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579"/>
  <sheetViews>
    <sheetView view="pageLayout" topLeftCell="A17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FormSampel!G6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FormSampel!I6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FormSampel!I7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FormSampel!I8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FormSampel!I9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>PERMIT              MAISARAH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579"/>
  <sheetViews>
    <sheetView view="pageLayout" topLeftCell="A19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FormSampel!G11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FormSampel!I11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FormSampel!I12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FormSampel!I13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FormSampel!I14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>PERMIT              MAISARAH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Z579"/>
  <sheetViews>
    <sheetView view="pageLayout" topLeftCell="A25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FormSampel!G16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FormSampel!I16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FormSampel!I17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FormSampel!I18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FormSampel!I19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>PERMIT              MAISARAH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Z579"/>
  <sheetViews>
    <sheetView view="pageLayout" topLeftCell="A31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FormSampel!G21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FormSampel!I21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FormSampel!I22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FormSampel!I23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FormSampel!I24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>PERMIT              MAISARAH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Z579"/>
  <sheetViews>
    <sheetView view="pageLayout" topLeftCell="A25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FormSampel!G26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FormSampel!I26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FormSampel!I27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FormSampel!I28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FormSampel!I29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>PERMIT              MAISARAH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Z579"/>
  <sheetViews>
    <sheetView view="pageLayout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FormSampel!G31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FormSampel!I31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FormSampel!I32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FormSampel!I33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FormSampel!I34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>PERMIT              MAISARAH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Z579"/>
  <sheetViews>
    <sheetView view="pageLayout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FormSampel!G36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FormSampel!I36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FormSampel!I37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FormSampel!I38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FormSampel!I39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>PERMIT              MAISARAH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Z579"/>
  <sheetViews>
    <sheetView view="pageLayout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FormSampel!G41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FormSampel!I41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FormSampel!I42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FormSampel!I43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FormSampel!I44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>PERMIT              MAISARAH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Z579"/>
  <sheetViews>
    <sheetView view="pageLayout" topLeftCell="A10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FormSampel!G46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FormSampel!I46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FormSampel!I47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FormSampel!I48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FormSampel!I49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>PERMIT              MAISARAH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Z579"/>
  <sheetViews>
    <sheetView view="pageLayout" topLeftCell="A16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/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FormSampel!I51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FormSampel!I52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FormSampel!I53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FormSampel!I54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>PERMIT              MAISARAH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Z579"/>
  <sheetViews>
    <sheetView view="pageLayout" topLeftCell="A19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/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FormSampel!I56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FormSampel!I57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FormSampel!I58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FormSampel!I59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>PERMIT              MAISARAH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Z579"/>
  <sheetViews>
    <sheetView view="pageLayout" zoomScale="112" zoomScaleNormal="100" zoomScalePageLayoutView="112" workbookViewId="0">
      <selection activeCell="D4" sqref="D4:J4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FormSampel!G61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FormSampel!I61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FormSampel!I62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FormSampel!I63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FormSampel!I64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>PERMIT              MAISARAH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Z579"/>
  <sheetViews>
    <sheetView view="pageLayout" zoomScale="112" zoomScaleNormal="100" zoomScalePageLayoutView="112" workbookViewId="0">
      <selection activeCell="D4" sqref="D4:J4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FormSampel!G66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FormSampel!I66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FormSampel!I67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FormSampel!I68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FormSampel!I69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>PERMIT              MAISARAH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Z579"/>
  <sheetViews>
    <sheetView view="pageLayout" zoomScale="112" zoomScaleNormal="100" zoomScalePageLayoutView="112" workbookViewId="0">
      <selection activeCell="D4" sqref="D4:J4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32" t="s">
        <v>0</v>
      </c>
      <c r="B1" s="133"/>
      <c r="C1" s="133"/>
      <c r="D1" s="133"/>
      <c r="E1" s="133"/>
      <c r="F1" s="133"/>
      <c r="G1" s="133"/>
      <c r="H1" s="133"/>
      <c r="I1" s="133"/>
      <c r="J1" s="134"/>
    </row>
    <row r="2" spans="1:26" x14ac:dyDescent="0.25">
      <c r="A2" s="132" t="s">
        <v>1</v>
      </c>
      <c r="B2" s="133"/>
      <c r="C2" s="133"/>
      <c r="D2" s="133"/>
      <c r="E2" s="133"/>
      <c r="F2" s="133"/>
      <c r="G2" s="133"/>
      <c r="H2" s="133"/>
      <c r="I2" s="133"/>
      <c r="J2" s="134"/>
    </row>
    <row r="3" spans="1:26" x14ac:dyDescent="0.25">
      <c r="A3" s="135" t="s">
        <v>2</v>
      </c>
      <c r="B3" s="133"/>
      <c r="C3" s="134"/>
      <c r="D3" s="136">
        <f>FormSampel!G71</f>
        <v>0</v>
      </c>
      <c r="E3" s="133"/>
      <c r="F3" s="133"/>
      <c r="G3" s="133"/>
      <c r="H3" s="133"/>
      <c r="I3" s="133"/>
      <c r="J3" s="134"/>
    </row>
    <row r="4" spans="1:26" x14ac:dyDescent="0.25">
      <c r="A4" s="135" t="s">
        <v>3</v>
      </c>
      <c r="B4" s="133"/>
      <c r="C4" s="134"/>
      <c r="D4" s="136">
        <f>FormSampel!B2</f>
        <v>110924</v>
      </c>
      <c r="E4" s="133"/>
      <c r="F4" s="133"/>
      <c r="G4" s="133"/>
      <c r="H4" s="133"/>
      <c r="I4" s="133"/>
      <c r="J4" s="134"/>
    </row>
    <row r="5" spans="1:26" ht="15" customHeight="1" x14ac:dyDescent="0.25">
      <c r="A5" s="137" t="s">
        <v>4</v>
      </c>
      <c r="B5" s="133"/>
      <c r="C5" s="133"/>
      <c r="D5" s="133"/>
      <c r="E5" s="133"/>
      <c r="F5" s="133"/>
      <c r="G5" s="133"/>
      <c r="H5" s="133"/>
      <c r="I5" s="133"/>
      <c r="J5" s="13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7" t="s">
        <v>5</v>
      </c>
      <c r="B6" s="133"/>
      <c r="C6" s="133"/>
      <c r="D6" s="133"/>
      <c r="E6" s="133"/>
      <c r="F6" s="133"/>
      <c r="G6" s="133"/>
      <c r="H6" s="133"/>
      <c r="I6" s="133"/>
      <c r="J6" s="134"/>
    </row>
    <row r="7" spans="1:26" ht="30" customHeight="1" x14ac:dyDescent="0.25">
      <c r="A7" s="138" t="s">
        <v>6</v>
      </c>
      <c r="B7" s="107"/>
      <c r="C7" s="139" t="s">
        <v>7</v>
      </c>
      <c r="D7" s="107"/>
      <c r="E7" s="107"/>
      <c r="F7" s="42" t="s">
        <v>8</v>
      </c>
      <c r="G7" s="130" t="s">
        <v>9</v>
      </c>
      <c r="H7" s="107"/>
      <c r="I7" s="107"/>
      <c r="J7" s="117"/>
    </row>
    <row r="8" spans="1:26" ht="15" customHeight="1" x14ac:dyDescent="0.25">
      <c r="A8" s="119" t="s">
        <v>10</v>
      </c>
      <c r="B8" s="114"/>
      <c r="C8" s="120" t="s">
        <v>11</v>
      </c>
      <c r="D8" s="114"/>
      <c r="E8" s="4"/>
      <c r="F8" s="38" t="s">
        <v>12</v>
      </c>
      <c r="G8" s="6" t="s">
        <v>13</v>
      </c>
      <c r="H8" s="6" t="s">
        <v>14</v>
      </c>
      <c r="I8" s="131"/>
      <c r="J8" s="115"/>
    </row>
    <row r="9" spans="1:26" ht="30" customHeight="1" x14ac:dyDescent="0.25">
      <c r="A9" s="127" t="s">
        <v>15</v>
      </c>
      <c r="B9" s="114"/>
      <c r="C9" s="120" t="s">
        <v>16</v>
      </c>
      <c r="D9" s="114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9" t="s">
        <v>20</v>
      </c>
      <c r="B10" s="114"/>
      <c r="C10" s="120" t="s">
        <v>21</v>
      </c>
      <c r="D10" s="114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7" t="s">
        <v>25</v>
      </c>
      <c r="B11" s="114"/>
      <c r="C11" s="128" t="s">
        <v>26</v>
      </c>
      <c r="D11" s="114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9" t="s">
        <v>30</v>
      </c>
      <c r="B12" s="114"/>
      <c r="C12" s="120" t="s">
        <v>31</v>
      </c>
      <c r="D12" s="114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9" t="s">
        <v>35</v>
      </c>
      <c r="B13" s="114"/>
      <c r="C13" s="120" t="s">
        <v>36</v>
      </c>
      <c r="D13" s="114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9" t="s">
        <v>40</v>
      </c>
      <c r="B14" s="114"/>
      <c r="C14" s="120" t="s">
        <v>41</v>
      </c>
      <c r="D14" s="114"/>
      <c r="E14" s="7"/>
      <c r="F14" s="129" t="s">
        <v>42</v>
      </c>
      <c r="G14" s="114"/>
      <c r="H14" s="114"/>
      <c r="I14" s="126" t="s">
        <v>43</v>
      </c>
      <c r="J14" s="115"/>
    </row>
    <row r="15" spans="1:26" ht="15" customHeight="1" x14ac:dyDescent="0.25">
      <c r="A15" s="119" t="s">
        <v>44</v>
      </c>
      <c r="B15" s="114"/>
      <c r="C15" s="120" t="s">
        <v>45</v>
      </c>
      <c r="D15" s="114"/>
      <c r="E15" s="7"/>
      <c r="F15" s="43" t="s">
        <v>74</v>
      </c>
      <c r="G15" s="124" t="str">
        <f>FormSampel!B14</f>
        <v>HC 16350373 - 2</v>
      </c>
      <c r="H15" s="124"/>
      <c r="I15" s="121">
        <f>FormSampel!C14</f>
        <v>45808</v>
      </c>
      <c r="J15" s="122"/>
    </row>
    <row r="16" spans="1:26" ht="15" customHeight="1" x14ac:dyDescent="0.25">
      <c r="A16" s="119" t="s">
        <v>46</v>
      </c>
      <c r="B16" s="114"/>
      <c r="C16" s="123" t="s">
        <v>47</v>
      </c>
      <c r="D16" s="114"/>
      <c r="E16" s="114"/>
      <c r="F16" s="44" t="s">
        <v>75</v>
      </c>
      <c r="G16" s="125" t="str">
        <f>FormSampel!B15</f>
        <v>HC 15161426 - 2</v>
      </c>
      <c r="H16" s="125"/>
      <c r="I16" s="121">
        <f>FormSampel!C15</f>
        <v>45716</v>
      </c>
      <c r="J16" s="122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25" t="str">
        <f>FormSampel!B16</f>
        <v>HC 14813176 - 2</v>
      </c>
      <c r="H17" s="125"/>
      <c r="I17" s="121">
        <f>FormSampel!C16</f>
        <v>45688</v>
      </c>
      <c r="J17" s="12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58" t="str">
        <f>FormSampel!B17</f>
        <v>HC 28942277 - 2</v>
      </c>
      <c r="H18" s="158"/>
      <c r="I18" s="153">
        <f>FormSampel!C17</f>
        <v>46142</v>
      </c>
      <c r="J18" s="154"/>
    </row>
    <row r="19" spans="1:26" x14ac:dyDescent="0.25">
      <c r="A19" s="155" t="s">
        <v>48</v>
      </c>
      <c r="B19" s="156"/>
      <c r="C19" s="156"/>
      <c r="D19" s="156"/>
      <c r="E19" s="156"/>
      <c r="F19" s="156"/>
      <c r="G19" s="156"/>
      <c r="H19" s="156"/>
      <c r="I19" s="156"/>
      <c r="J19" s="157"/>
    </row>
    <row r="20" spans="1:26" ht="26.25" customHeight="1" x14ac:dyDescent="0.25">
      <c r="A20" s="145" t="s">
        <v>49</v>
      </c>
      <c r="B20" s="141"/>
      <c r="C20" s="29">
        <f>FormSampel!I71</f>
        <v>0</v>
      </c>
      <c r="D20" s="30" t="s">
        <v>50</v>
      </c>
      <c r="E20" s="31">
        <v>1000</v>
      </c>
      <c r="F20" s="140" t="s">
        <v>51</v>
      </c>
      <c r="G20" s="141"/>
      <c r="H20" s="142" t="str">
        <f>IF(AND(C21&lt;0.15),"&lt;0.15",C21)</f>
        <v>&lt;0.15</v>
      </c>
      <c r="I20" s="143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46" t="s">
        <v>56</v>
      </c>
      <c r="B22" s="147"/>
      <c r="C22" s="147"/>
      <c r="D22" s="147"/>
      <c r="E22" s="147"/>
      <c r="F22" s="147"/>
      <c r="G22" s="147"/>
      <c r="H22" s="147"/>
      <c r="I22" s="147"/>
      <c r="J22" s="148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45" t="s">
        <v>49</v>
      </c>
      <c r="B23" s="141"/>
      <c r="C23" s="29">
        <f>FormSampel!I72</f>
        <v>0</v>
      </c>
      <c r="D23" s="30" t="s">
        <v>50</v>
      </c>
      <c r="E23" s="36">
        <v>1000</v>
      </c>
      <c r="F23" s="140" t="s">
        <v>51</v>
      </c>
      <c r="G23" s="141"/>
      <c r="H23" s="142" t="str">
        <f>IF(C24&lt;0.15,"&lt;0.15",C24)</f>
        <v>&lt;0.15</v>
      </c>
      <c r="I23" s="143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46" t="s">
        <v>54</v>
      </c>
      <c r="B25" s="147"/>
      <c r="C25" s="147"/>
      <c r="D25" s="147"/>
      <c r="E25" s="147"/>
      <c r="F25" s="147"/>
      <c r="G25" s="147"/>
      <c r="H25" s="147"/>
      <c r="I25" s="147"/>
      <c r="J25" s="14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4" t="s">
        <v>49</v>
      </c>
      <c r="B26" s="114"/>
      <c r="C26" s="29">
        <f>FormSampel!I73</f>
        <v>0</v>
      </c>
      <c r="D26" s="30" t="s">
        <v>50</v>
      </c>
      <c r="E26" s="36">
        <v>1000</v>
      </c>
      <c r="F26" s="149" t="s">
        <v>51</v>
      </c>
      <c r="G26" s="141"/>
      <c r="H26" s="142" t="str">
        <f>IF(AND(C27&lt;0.15),"&lt;0.15",C27)</f>
        <v>&lt;0.15</v>
      </c>
      <c r="I26" s="143"/>
      <c r="J26" s="37" t="s">
        <v>52</v>
      </c>
    </row>
    <row r="27" spans="1:26" ht="15.75" customHeight="1" x14ac:dyDescent="0.25">
      <c r="A27" s="33" t="s">
        <v>53</v>
      </c>
      <c r="B27" s="34"/>
      <c r="C27" s="150">
        <f>C26/1000</f>
        <v>0</v>
      </c>
      <c r="D27" s="151"/>
      <c r="E27" s="35"/>
      <c r="F27" s="34"/>
      <c r="G27" s="34"/>
      <c r="H27" s="34"/>
      <c r="I27" s="34"/>
      <c r="J27" s="32"/>
    </row>
    <row r="28" spans="1:26" ht="15.75" customHeight="1" x14ac:dyDescent="0.25">
      <c r="A28" s="146" t="s">
        <v>55</v>
      </c>
      <c r="B28" s="147"/>
      <c r="C28" s="147"/>
      <c r="D28" s="147"/>
      <c r="E28" s="147"/>
      <c r="F28" s="147"/>
      <c r="G28" s="147"/>
      <c r="H28" s="147"/>
      <c r="I28" s="147"/>
      <c r="J28" s="148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4" t="s">
        <v>49</v>
      </c>
      <c r="B29" s="114"/>
      <c r="C29" s="29">
        <f>FormSampel!I74</f>
        <v>0</v>
      </c>
      <c r="D29" s="30" t="s">
        <v>50</v>
      </c>
      <c r="E29" s="36">
        <v>1000</v>
      </c>
      <c r="F29" s="152" t="s">
        <v>51</v>
      </c>
      <c r="G29" s="114"/>
      <c r="H29" s="142" t="str">
        <f>IF(AND(C30&lt;0.15),"&lt;0.15",C30)</f>
        <v>&lt;0.15</v>
      </c>
      <c r="I29" s="143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12" t="s">
        <v>57</v>
      </c>
      <c r="B31" s="107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3" t="s">
        <v>59</v>
      </c>
      <c r="C32" s="114"/>
      <c r="D32" s="114"/>
      <c r="E32" s="115"/>
      <c r="F32" s="1"/>
      <c r="G32" s="1"/>
      <c r="H32" s="1"/>
      <c r="I32" s="1"/>
      <c r="J32" s="16"/>
    </row>
    <row r="33" spans="1:26" ht="15.75" customHeight="1" x14ac:dyDescent="0.25">
      <c r="A33" s="20"/>
      <c r="B33" s="114"/>
      <c r="C33" s="114"/>
      <c r="D33" s="114"/>
      <c r="E33" s="115"/>
      <c r="F33" s="21"/>
      <c r="G33" s="1"/>
      <c r="H33" s="1"/>
      <c r="I33" s="1"/>
      <c r="J33" s="16"/>
    </row>
    <row r="34" spans="1:26" ht="15.75" customHeight="1" x14ac:dyDescent="0.25">
      <c r="A34" s="22"/>
      <c r="B34" s="113" t="s">
        <v>60</v>
      </c>
      <c r="C34" s="114"/>
      <c r="D34" s="114"/>
      <c r="E34" s="115"/>
      <c r="F34" s="1"/>
      <c r="G34" s="1"/>
      <c r="H34" s="1"/>
      <c r="I34" s="1"/>
      <c r="J34" s="16"/>
    </row>
    <row r="35" spans="1:26" ht="15.75" customHeight="1" x14ac:dyDescent="0.25">
      <c r="A35" s="22"/>
      <c r="B35" s="114"/>
      <c r="C35" s="114"/>
      <c r="D35" s="114"/>
      <c r="E35" s="11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6" t="s">
        <v>61</v>
      </c>
      <c r="B38" s="107"/>
      <c r="C38" s="107"/>
      <c r="D38" s="107"/>
      <c r="E38" s="117"/>
      <c r="F38" s="98" t="str">
        <f>FormSampel!B19</f>
        <v>PERMIT              MAISARAH</v>
      </c>
      <c r="G38" s="99"/>
      <c r="H38" s="102">
        <f>FormSampel!B20</f>
        <v>45546</v>
      </c>
      <c r="I38" s="102"/>
      <c r="J38" s="103"/>
    </row>
    <row r="39" spans="1:26" ht="11.25" customHeight="1" x14ac:dyDescent="0.25">
      <c r="A39" s="108"/>
      <c r="B39" s="109"/>
      <c r="C39" s="109"/>
      <c r="D39" s="109"/>
      <c r="E39" s="118"/>
      <c r="F39" s="100"/>
      <c r="G39" s="101"/>
      <c r="H39" s="104"/>
      <c r="I39" s="104"/>
      <c r="J39" s="105"/>
    </row>
    <row r="40" spans="1:26" ht="15.75" customHeight="1" x14ac:dyDescent="0.25">
      <c r="A40" s="106" t="s">
        <v>62</v>
      </c>
      <c r="B40" s="107"/>
      <c r="C40" s="107"/>
      <c r="D40" s="107"/>
      <c r="E40" s="107"/>
      <c r="F40" s="27"/>
      <c r="G40" s="23"/>
      <c r="H40" s="23"/>
      <c r="I40" s="23"/>
      <c r="J40" s="16"/>
    </row>
    <row r="41" spans="1:26" ht="11.25" customHeight="1" x14ac:dyDescent="0.25">
      <c r="A41" s="108"/>
      <c r="B41" s="109"/>
      <c r="C41" s="109"/>
      <c r="D41" s="109"/>
      <c r="E41" s="109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2024-09-17T03:40:18Z</cp:lastPrinted>
  <dcterms:created xsi:type="dcterms:W3CDTF">2006-09-16T00:00:00Z</dcterms:created>
  <dcterms:modified xsi:type="dcterms:W3CDTF">2024-09-17T03:42:22Z</dcterms:modified>
</cp:coreProperties>
</file>