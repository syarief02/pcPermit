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ICPMS\PIL 281124 - FAIL\"/>
    </mc:Choice>
  </mc:AlternateContent>
  <bookViews>
    <workbookView xWindow="0" yWindow="0" windowWidth="20490" windowHeight="7620" activeTab="3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62913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C27" i="24"/>
  <c r="H26" i="24" s="1"/>
  <c r="C24" i="24"/>
  <c r="C21" i="24"/>
  <c r="H20" i="24" s="1"/>
  <c r="C30" i="23"/>
  <c r="C27" i="23"/>
  <c r="H26" i="23" s="1"/>
  <c r="C24" i="23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<sst xmlns="http://schemas.openxmlformats.org/spreadsheetml/2006/main" count="1282" uniqueCount="100">
  <si>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</si>
  <si>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</si>
  <si>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</si>
  <si>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</si>
  <si>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</si>
  <si>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</si>
  <si>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</si>
  <si>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</si>
  <si>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</si>
  <si>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</si>
  <si>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</si>
  <si>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</si>
  <si>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</si>
  <si>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</si>
  <si>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</si>
  <si>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</si>
  <si>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</si>
  <si>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</si>
  <si>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</si>
  <si>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</si>
  <si>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</si>
  <si>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</si>
  <si>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</si>
  <si>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</si>
  <si>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</si>
  <si>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</si>
  <si>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</si>
  <si>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</si>
  <si>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</si>
  <si>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</si>
  <si>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</si>
  <si>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</si>
  <si>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</si>
  <si>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</si>
  <si>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</si>
  <si>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</si>
  <si>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</si>
  <si>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</si>
  <si>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</si>
  <si>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</si>
  <si>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</si>
  <si>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</si>
  <si>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</si>
  <si>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</si>
  <si>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</si>
  <si>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</si>
  <si>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</si>
  <si>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</si>
  <si>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</si>
  <si>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</si>
  <si>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</si>
  <si>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</si>
  <si>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</si>
  <si>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</si>
  <si>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</si>
  <si>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</si>
  <si>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</si>
  <si>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</si>
  <si>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</si>
  <si>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</si>
  <si>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</si>
  <si>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</si>
  <si>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</si>
  <si>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</si>
  <si>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</si>
  <si>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</si>
  <si>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</si>
  <si>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</si>
  <si>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</si>
  <si>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</si>
  <si>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</si>
  <si>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</si>
  <si>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</si>
  <si>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</si>
  <si>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</si>
  <si>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</si>
  <si>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</si>
  <si>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</si>
  <si>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</si>
  <si>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</si>
  <si>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</si>
  <si>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</si>
  <si>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</si>
  <si>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</si>
  <si>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</si>
  <si>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</si>
  <si>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</si>
  <si>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</si>
  <si>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</si>
  <si>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</si>
  <si>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</si>
  <si>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</si>
  <si>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</si>
  <si>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Sila Pilih</t>
  </si>
  <si>
    <t>281124(1)</t>
  </si>
  <si>
    <t>NOR HANANI</t>
  </si>
  <si>
    <t>2024070247 AR,AS,HG</t>
  </si>
  <si>
    <t>2024070247 BR,AS,HG</t>
  </si>
  <si>
    <t>2024070247 CR,AS,HG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</si>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</sst>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6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4" xfId="0" applyFont="1" applyBorder="1" applyAlignment="1"/>
    <xf numFmtId="0" fontId="0" fillId="0" borderId="25" xfId="0" applyFont="1" applyBorder="1" applyAlignment="1"/>
    <xf numFmtId="0" fontId="0" fillId="0" borderId="23" xfId="0" applyFont="1" applyBorder="1" applyAlignment="1"/>
    <xf numFmtId="0" fontId="3" fillId="0" borderId="24" xfId="0" applyFont="1" applyBorder="1" applyAlignment="1">
      <alignment horizontal="left"/>
    </xf>
    <xf numFmtId="0" fontId="0" fillId="0" borderId="18" xfId="0" applyFont="1" applyBorder="1" applyAlignment="1"/>
    <xf numFmtId="14" fontId="0" fillId="0" borderId="16" xfId="0" applyNumberFormat="1" applyFont="1" applyBorder="1" applyAlignment="1">
      <alignment horizontal="center"/>
    </xf>
    <xf numFmtId="14" fontId="0" fillId="0" borderId="19" xfId="0" applyNumberFormat="1" applyFont="1" applyBorder="1" applyAlignment="1">
      <alignment horizontal="center"/>
    </xf>
    <xf numFmtId="0" fontId="0" fillId="0" borderId="28" xfId="0" applyFont="1" applyBorder="1" applyAlignment="1"/>
    <xf numFmtId="0" fontId="0" fillId="0" borderId="29" xfId="0" applyFont="1" applyBorder="1" applyAlignment="1"/>
    <xf numFmtId="0" fontId="3" fillId="0" borderId="31" xfId="0" applyFont="1" applyBorder="1" applyAlignment="1">
      <alignment horizontal="left"/>
    </xf>
    <xf numFmtId="0" fontId="0" fillId="0" borderId="32" xfId="0" applyFont="1" applyBorder="1" applyAlignment="1"/>
    <xf numFmtId="14" fontId="0" fillId="0" borderId="34" xfId="0" applyNumberFormat="1" applyFont="1" applyBorder="1" applyAlignment="1"/>
    <xf numFmtId="0" fontId="14" fillId="5" borderId="20" xfId="0" applyFont="1" applyFill="1" applyBorder="1" applyAlignment="1">
      <alignment horizontal="left"/>
    </xf>
    <xf numFmtId="0" fontId="14" fillId="5" borderId="22" xfId="0" applyFont="1" applyFill="1" applyBorder="1" applyAlignment="1"/>
    <xf numFmtId="0" fontId="14" fillId="5" borderId="26" xfId="0" applyFont="1" applyFill="1" applyBorder="1" applyAlignment="1"/>
    <xf numFmtId="0" fontId="3" fillId="0" borderId="31" xfId="0" applyFont="1" applyBorder="1" applyAlignment="1"/>
    <xf numFmtId="0" fontId="14" fillId="5" borderId="20" xfId="0" applyFont="1" applyFill="1" applyBorder="1" applyAlignment="1"/>
    <xf numFmtId="0" fontId="0" fillId="0" borderId="13" xfId="0" applyFont="1" applyBorder="1" applyAlignment="1"/>
    <xf numFmtId="0" fontId="3" fillId="0" borderId="35" xfId="0" applyFont="1" applyBorder="1" applyAlignment="1"/>
    <xf numFmtId="0" fontId="0" fillId="0" borderId="30" xfId="0" applyFont="1" applyBorder="1" applyAlignment="1"/>
    <xf numFmtId="0" fontId="0" fillId="0" borderId="36" xfId="0" applyFont="1" applyBorder="1" applyAlignment="1"/>
    <xf numFmtId="0" fontId="0" fillId="0" borderId="35" xfId="0" applyFont="1" applyBorder="1" applyAlignment="1"/>
    <xf numFmtId="0" fontId="0" fillId="0" borderId="21" xfId="0" applyFont="1" applyBorder="1" applyAlignment="1"/>
    <xf numFmtId="0" fontId="3" fillId="0" borderId="15" xfId="0" applyFont="1" applyBorder="1" applyAlignment="1">
      <alignment horizontal="center"/>
    </xf>
    <xf numFmtId="0" fontId="15" fillId="0" borderId="0" xfId="0" applyFont="1" applyFill="1" applyAlignment="1"/>
    <xf numFmtId="0" fontId="0" fillId="0" borderId="0" xfId="0" applyFont="1" applyFill="1" applyAlignment="1"/>
    <xf numFmtId="0" fontId="2" fillId="0" borderId="1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3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40" xfId="0" applyNumberFormat="1" applyFont="1" applyFill="1" applyBorder="1" applyAlignment="1">
      <alignment horizontal="center" vertical="center"/>
    </xf>
    <xf numFmtId="164" fontId="0" fillId="6" borderId="40" xfId="0" applyNumberFormat="1" applyFont="1" applyFill="1" applyBorder="1" applyAlignment="1">
      <alignment horizontal="center" vertical="center"/>
    </xf>
    <xf numFmtId="164" fontId="0" fillId="7" borderId="40" xfId="0" applyNumberFormat="1" applyFont="1" applyFill="1" applyBorder="1" applyAlignment="1">
      <alignment horizontal="center" vertical="center"/>
    </xf>
    <xf numFmtId="164" fontId="0" fillId="8" borderId="40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164" fontId="0" fillId="0" borderId="12" xfId="0" applyNumberFormat="1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0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/>
    </xf>
    <xf numFmtId="0" fontId="14" fillId="5" borderId="38" xfId="0" applyFont="1" applyFill="1" applyBorder="1" applyAlignment="1">
      <alignment horizontal="center" vertical="center"/>
    </xf>
    <xf numFmtId="0" fontId="14" fillId="5" borderId="27" xfId="0" applyFont="1" applyFill="1" applyBorder="1" applyAlignment="1">
      <alignment horizontal="center" vertic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0" fontId="1" fillId="0" borderId="33" xfId="0" applyFont="1" applyBorder="1" applyAlignment="1"/>
    <xf numFmtId="2" fontId="6" fillId="0" borderId="2" xfId="0" applyNumberFormat="1" applyFont="1" applyBorder="1" applyAlignment="1">
      <alignment horizontal="center"/>
    </xf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checked="Checked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checked="Checked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checked="Checked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checked="Checked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checked="Checked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checked="Checked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checked="Checked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checked="Checked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checked="Checked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checked="Checked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checked="Checked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checked="Checked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checked="Checked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checked="Checked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74"/>
  <sheetViews>
    <sheetView workbookViewId="0">
      <selection activeCell="K17" sqref="K17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2" customWidth="1"/>
    <col min="5" max="5" width="4" customWidth="1"/>
    <col min="6" max="6" width="24" style="75" customWidth="1"/>
    <col min="7" max="7" width="9.5703125" style="78" bestFit="1" customWidth="1"/>
    <col min="8" max="8" width="9.140625" style="78"/>
    <col min="9" max="9" width="9.5703125" style="78" bestFit="1" customWidth="1"/>
    <col min="10" max="10" width="9.140625" style="78"/>
  </cols>
  <sheetData>
    <row r="1" spans="1:11" ht="15.75" customHeight="1" thickBot="1" x14ac:dyDescent="0.3"/>
    <row r="2" spans="1:11" ht="15.75" customHeight="1" thickBot="1" x14ac:dyDescent="0.3">
      <c r="A2" s="61" t="s">
        <v>3</v>
      </c>
      <c r="B2" s="64" t="s">
        <v>94</v>
      </c>
      <c r="E2" s="85" t="s">
        <v>90</v>
      </c>
      <c r="F2" s="85" t="s">
        <v>91</v>
      </c>
      <c r="G2" s="84" t="s">
        <v>92</v>
      </c>
      <c r="H2" s="84"/>
      <c r="I2" s="84"/>
      <c r="J2" s="84"/>
    </row>
    <row r="3" spans="1:11" ht="15" customHeight="1" x14ac:dyDescent="0.25">
      <c r="A3" s="60" t="s">
        <v>63</v>
      </c>
      <c r="B3" s="65" t="s">
        <v>65</v>
      </c>
      <c r="E3" s="85"/>
      <c r="F3" s="86"/>
      <c r="G3" s="79" t="s">
        <v>72</v>
      </c>
      <c r="H3" s="80" t="s">
        <v>80</v>
      </c>
      <c r="I3" s="81" t="s">
        <v>14</v>
      </c>
      <c r="J3" s="82" t="s">
        <v>73</v>
      </c>
    </row>
    <row r="4" spans="1:11" ht="15.75" customHeight="1" x14ac:dyDescent="0.25">
      <c r="A4" s="62" t="s">
        <v>64</v>
      </c>
      <c r="B4" s="46" t="b">
        <v>1</v>
      </c>
      <c r="E4" s="76">
        <v>1</v>
      </c>
      <c r="F4" s="77" t="s">
        <v>96</v>
      </c>
      <c r="G4" s="83">
        <v>13913.851000000001</v>
      </c>
      <c r="H4" s="83" t="s">
        <v>99</v>
      </c>
      <c r="I4" s="83">
        <v>11690.832</v>
      </c>
      <c r="J4" s="83" t="s">
        <v>99</v>
      </c>
      <c r="K4" s="72"/>
    </row>
    <row r="5" spans="1:11" ht="15.75" thickBot="1" x14ac:dyDescent="0.3">
      <c r="A5" s="47" t="s">
        <v>66</v>
      </c>
      <c r="B5" s="67" t="s">
        <v>93</v>
      </c>
      <c r="E5" s="76">
        <v>2</v>
      </c>
      <c r="F5" s="77" t="s">
        <v>97</v>
      </c>
      <c r="G5" s="83">
        <v>13993.66</v>
      </c>
      <c r="H5" s="83" t="s">
        <v>99</v>
      </c>
      <c r="I5" s="83">
        <v>11969.041999999999</v>
      </c>
      <c r="J5" s="83" t="s">
        <v>99</v>
      </c>
      <c r="K5" s="72"/>
    </row>
    <row r="6" spans="1:11" x14ac:dyDescent="0.25">
      <c r="A6" s="63" t="s">
        <v>67</v>
      </c>
      <c r="B6" s="69"/>
      <c r="E6" s="76">
        <v>3</v>
      </c>
      <c r="F6" s="77" t="s">
        <v>98</v>
      </c>
      <c r="G6" s="83">
        <v>14500.742</v>
      </c>
      <c r="H6" s="83" t="s">
        <v>99</v>
      </c>
      <c r="I6" s="83">
        <v>12163.958000000001</v>
      </c>
      <c r="J6" s="83" t="s">
        <v>99</v>
      </c>
      <c r="K6" s="72"/>
    </row>
    <row r="7" spans="1:11" x14ac:dyDescent="0.25">
      <c r="A7" s="62" t="s">
        <v>68</v>
      </c>
      <c r="B7" s="66" t="b">
        <v>1</v>
      </c>
      <c r="E7" s="76">
        <v>4</v>
      </c>
      <c r="F7" s="77"/>
      <c r="G7" s="83"/>
      <c r="H7" s="83"/>
      <c r="I7" s="83"/>
      <c r="J7" s="83"/>
      <c r="K7" s="72"/>
    </row>
    <row r="8" spans="1:11" ht="15.75" thickBot="1" x14ac:dyDescent="0.3">
      <c r="A8" s="47" t="s">
        <v>88</v>
      </c>
      <c r="B8" s="67" t="s">
        <v>93</v>
      </c>
      <c r="E8" s="76">
        <v>5</v>
      </c>
      <c r="F8" s="77"/>
      <c r="G8" s="83"/>
      <c r="H8" s="83"/>
      <c r="I8" s="83"/>
      <c r="J8" s="83"/>
      <c r="K8" s="72"/>
    </row>
    <row r="9" spans="1:11" x14ac:dyDescent="0.25">
      <c r="A9" s="63" t="s">
        <v>69</v>
      </c>
      <c r="B9" s="68"/>
      <c r="E9" s="76">
        <v>6</v>
      </c>
      <c r="F9" s="77"/>
      <c r="G9" s="83"/>
      <c r="H9" s="83"/>
      <c r="I9" s="83"/>
      <c r="J9" s="83"/>
      <c r="K9" s="72"/>
    </row>
    <row r="10" spans="1:11" x14ac:dyDescent="0.25">
      <c r="A10" s="62" t="s">
        <v>70</v>
      </c>
      <c r="B10" s="66" t="b">
        <v>1</v>
      </c>
      <c r="E10" s="76">
        <v>7</v>
      </c>
      <c r="F10" s="77"/>
      <c r="G10" s="83"/>
      <c r="H10" s="83"/>
      <c r="I10" s="83"/>
      <c r="J10" s="83"/>
      <c r="K10" s="72"/>
    </row>
    <row r="11" spans="1:11" ht="15.75" customHeight="1" thickBot="1" x14ac:dyDescent="0.3">
      <c r="A11" s="49" t="s">
        <v>71</v>
      </c>
      <c r="B11" s="67" t="s">
        <v>93</v>
      </c>
      <c r="E11" s="76">
        <v>8</v>
      </c>
      <c r="F11" s="77"/>
      <c r="G11" s="83"/>
      <c r="H11" s="83"/>
      <c r="I11" s="83"/>
      <c r="J11" s="83"/>
      <c r="K11" s="72"/>
    </row>
    <row r="12" spans="1:11" ht="15" customHeight="1" x14ac:dyDescent="0.25">
      <c r="A12" s="87" t="s">
        <v>42</v>
      </c>
      <c r="B12" s="89" t="s">
        <v>78</v>
      </c>
      <c r="C12" s="91" t="s">
        <v>79</v>
      </c>
      <c r="E12" s="76">
        <v>9</v>
      </c>
      <c r="F12" s="77"/>
      <c r="G12" s="83"/>
      <c r="H12" s="83"/>
      <c r="I12" s="83"/>
      <c r="J12" s="83"/>
      <c r="K12" s="72"/>
    </row>
    <row r="13" spans="1:11" s="39" customFormat="1" ht="15" customHeight="1" x14ac:dyDescent="0.25">
      <c r="A13" s="88"/>
      <c r="B13" s="90"/>
      <c r="C13" s="92"/>
      <c r="D13" s="72"/>
      <c r="E13" s="76">
        <v>10</v>
      </c>
      <c r="F13" s="77"/>
      <c r="G13" s="83"/>
      <c r="H13" s="83"/>
      <c r="I13" s="83"/>
      <c r="J13" s="83"/>
      <c r="K13" s="72"/>
    </row>
    <row r="14" spans="1:11" ht="15.75" customHeight="1" x14ac:dyDescent="0.25">
      <c r="A14" s="70" t="s">
        <v>72</v>
      </c>
      <c r="B14" s="46" t="s">
        <v>81</v>
      </c>
      <c r="C14" s="52">
        <v>45808</v>
      </c>
      <c r="E14" s="76">
        <v>11</v>
      </c>
      <c r="F14" s="77"/>
      <c r="G14" s="83"/>
      <c r="H14" s="83"/>
      <c r="I14" s="83"/>
      <c r="J14" s="83"/>
      <c r="K14" s="72"/>
    </row>
    <row r="15" spans="1:11" x14ac:dyDescent="0.25">
      <c r="A15" s="73" t="s">
        <v>14</v>
      </c>
      <c r="B15" s="46" t="s">
        <v>82</v>
      </c>
      <c r="C15" s="52">
        <v>45716</v>
      </c>
      <c r="E15" s="76">
        <v>12</v>
      </c>
      <c r="F15" s="77"/>
      <c r="G15" s="83"/>
      <c r="H15" s="83"/>
      <c r="I15" s="83"/>
      <c r="J15" s="83"/>
    </row>
    <row r="16" spans="1:11" ht="15" customHeight="1" x14ac:dyDescent="0.25">
      <c r="A16" s="73" t="s">
        <v>73</v>
      </c>
      <c r="B16" s="46" t="s">
        <v>83</v>
      </c>
      <c r="C16" s="52">
        <v>45688</v>
      </c>
      <c r="E16" s="76">
        <v>13</v>
      </c>
      <c r="F16" s="77"/>
      <c r="G16" s="83"/>
      <c r="H16" s="83"/>
      <c r="I16" s="83"/>
      <c r="J16" s="83"/>
    </row>
    <row r="17" spans="1:10" ht="15.75" customHeight="1" thickBot="1" x14ac:dyDescent="0.3">
      <c r="A17" s="74" t="s">
        <v>89</v>
      </c>
      <c r="B17" s="51" t="s">
        <v>84</v>
      </c>
      <c r="C17" s="53">
        <v>46142</v>
      </c>
      <c r="E17" s="76">
        <v>14</v>
      </c>
      <c r="F17" s="77"/>
      <c r="G17" s="83"/>
      <c r="H17" s="83"/>
      <c r="I17" s="83"/>
      <c r="J17" s="83"/>
    </row>
    <row r="18" spans="1:10" ht="15" customHeight="1" x14ac:dyDescent="0.25">
      <c r="A18" s="59" t="s">
        <v>85</v>
      </c>
      <c r="B18" s="54"/>
      <c r="C18" s="55"/>
      <c r="E18" s="76">
        <v>15</v>
      </c>
      <c r="F18" s="77"/>
      <c r="G18" s="83"/>
      <c r="H18" s="83"/>
      <c r="I18" s="83"/>
      <c r="J18" s="83"/>
    </row>
    <row r="19" spans="1:10" ht="15.75" customHeight="1" x14ac:dyDescent="0.25">
      <c r="A19" s="56" t="s">
        <v>86</v>
      </c>
      <c r="B19" s="154" t="s">
        <v>95</v>
      </c>
      <c r="C19" s="57"/>
    </row>
    <row r="20" spans="1:10" ht="15.75" thickBot="1" x14ac:dyDescent="0.3">
      <c r="A20" s="50" t="s">
        <v>87</v>
      </c>
      <c r="B20" s="58">
        <v>45624</v>
      </c>
      <c r="C20" s="48"/>
    </row>
    <row r="21" spans="1:10" ht="15" customHeight="1" x14ac:dyDescent="0.25"/>
    <row r="22" spans="1:10" ht="15" customHeight="1" x14ac:dyDescent="0.25"/>
    <row r="23" spans="1:10" ht="15" customHeight="1" x14ac:dyDescent="0.25"/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71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6">
    <mergeCell ref="G2:J2"/>
    <mergeCell ref="F2:F3"/>
    <mergeCell ref="E2:E3"/>
    <mergeCell ref="A12:A13"/>
    <mergeCell ref="B12:B13"/>
    <mergeCell ref="C12:C13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>
      <formula1>"Sila Pilih, TRUE,FALSE"</formula1>
    </dataValidation>
    <dataValidation type="list" allowBlank="1" showInputMessage="1" showErrorMessage="1" sqref="B4 B8 B10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view="pageLayout" topLeftCell="A28" zoomScale="112" zoomScaleNormal="100" zoomScalePageLayoutView="112" workbookViewId="0">
      <selection activeCell="H29" sqref="H29:I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 t="str">
        <f>FormSampel!F4</f>
        <v>2024070247 AR,AS,HG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281124(1)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FormSampel!G4</f>
        <v>13913.851000000001</v>
      </c>
      <c r="D20" s="30" t="s">
        <v>50</v>
      </c>
      <c r="E20" s="31">
        <v>1000</v>
      </c>
      <c r="F20" s="104" t="s">
        <v>51</v>
      </c>
      <c r="G20" s="103"/>
      <c r="H20" s="105">
        <f>IF(AND(C21&lt;0.15),"&lt;0.15",C21)</f>
        <v>13.913851000000001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13.913851000000001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 t="str">
        <f>FormSampel!H4</f>
        <v>NA</v>
      </c>
      <c r="D23" s="30" t="s">
        <v>50</v>
      </c>
      <c r="E23" s="36">
        <v>1000</v>
      </c>
      <c r="F23" s="104" t="s">
        <v>51</v>
      </c>
      <c r="G23" s="103"/>
      <c r="H23" s="155" t="s">
        <v>99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 t="e">
        <f>C23/1000</f>
        <v>#VALUE!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FormSampel!I4</f>
        <v>11690.832</v>
      </c>
      <c r="D26" s="30" t="s">
        <v>50</v>
      </c>
      <c r="E26" s="36">
        <v>1000</v>
      </c>
      <c r="F26" s="114" t="s">
        <v>51</v>
      </c>
      <c r="G26" s="103"/>
      <c r="H26" s="105">
        <f>IF(AND(C27&lt;0.15),"&lt;0.15",C27)</f>
        <v>11.690832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11.690832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 t="str">
        <f>FormSampel!J4</f>
        <v>NA</v>
      </c>
      <c r="D29" s="30" t="s">
        <v>50</v>
      </c>
      <c r="E29" s="36">
        <v>1000</v>
      </c>
      <c r="F29" s="117" t="s">
        <v>51</v>
      </c>
      <c r="G29" s="113"/>
      <c r="H29" s="155" t="s">
        <v>99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 t="e">
        <f>C29/1000</f>
        <v>#VALUE!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NOR HANANI</v>
      </c>
      <c r="G38" s="140"/>
      <c r="H38" s="143">
        <f>FormSampel!B20</f>
        <v>45624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579"/>
  <sheetViews>
    <sheetView view="pageLayout" topLeftCell="A19" zoomScale="112" zoomScaleNormal="100" zoomScalePageLayoutView="112" workbookViewId="0">
      <selection activeCell="H29" sqref="H29:I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 t="str">
        <f>FormSampel!F5</f>
        <v>2024070247 BR,AS,HG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281124(1)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FormSampel!G5</f>
        <v>13993.66</v>
      </c>
      <c r="D20" s="30" t="s">
        <v>50</v>
      </c>
      <c r="E20" s="31">
        <v>1000</v>
      </c>
      <c r="F20" s="104" t="s">
        <v>51</v>
      </c>
      <c r="G20" s="103"/>
      <c r="H20" s="105">
        <f>IF(AND(C21&lt;0.15),"&lt;0.15",C21)</f>
        <v>13.99366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13.99366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 t="str">
        <f>FormSampel!H5</f>
        <v>NA</v>
      </c>
      <c r="D23" s="30" t="s">
        <v>50</v>
      </c>
      <c r="E23" s="36">
        <v>1000</v>
      </c>
      <c r="F23" s="104" t="s">
        <v>51</v>
      </c>
      <c r="G23" s="103"/>
      <c r="H23" s="155" t="s">
        <v>99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 t="e">
        <f>C23/1000</f>
        <v>#VALUE!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FormSampel!I5</f>
        <v>11969.041999999999</v>
      </c>
      <c r="D26" s="30" t="s">
        <v>50</v>
      </c>
      <c r="E26" s="36">
        <v>1000</v>
      </c>
      <c r="F26" s="114" t="s">
        <v>51</v>
      </c>
      <c r="G26" s="103"/>
      <c r="H26" s="105">
        <f>IF(AND(C27&lt;0.15),"&lt;0.15",C27)</f>
        <v>11.969042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11.969042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 t="str">
        <f>FormSampel!J5</f>
        <v>NA</v>
      </c>
      <c r="D29" s="30" t="s">
        <v>50</v>
      </c>
      <c r="E29" s="36">
        <v>1000</v>
      </c>
      <c r="F29" s="117" t="s">
        <v>51</v>
      </c>
      <c r="G29" s="113"/>
      <c r="H29" s="155" t="s">
        <v>99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 t="e">
        <f>C29/1000</f>
        <v>#VALUE!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NOR HANANI</v>
      </c>
      <c r="G38" s="140"/>
      <c r="H38" s="143">
        <f>FormSampel!B20</f>
        <v>45624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79"/>
  <sheetViews>
    <sheetView tabSelected="1" view="pageLayout" zoomScale="112" zoomScaleNormal="100" zoomScalePageLayoutView="112" workbookViewId="0">
      <selection activeCell="H29" sqref="H29:I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 t="str">
        <f>FormSampel!F6</f>
        <v>2024070247 CR,AS,HG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281124(1)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FormSampel!G6</f>
        <v>14500.742</v>
      </c>
      <c r="D20" s="30" t="s">
        <v>50</v>
      </c>
      <c r="E20" s="31">
        <v>1000</v>
      </c>
      <c r="F20" s="104" t="s">
        <v>51</v>
      </c>
      <c r="G20" s="103"/>
      <c r="H20" s="105">
        <f>IF(AND(C21&lt;0.15),"&lt;0.15",C21)</f>
        <v>14.500742000000001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14.500742000000001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 t="str">
        <f>FormSampel!H6</f>
        <v>NA</v>
      </c>
      <c r="D23" s="30" t="s">
        <v>50</v>
      </c>
      <c r="E23" s="36">
        <v>1000</v>
      </c>
      <c r="F23" s="104" t="s">
        <v>51</v>
      </c>
      <c r="G23" s="103"/>
      <c r="H23" s="155" t="s">
        <v>99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 t="e">
        <f>C23/1000</f>
        <v>#VALUE!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FormSampel!I6</f>
        <v>12163.958000000001</v>
      </c>
      <c r="D26" s="30" t="s">
        <v>50</v>
      </c>
      <c r="E26" s="36">
        <v>1000</v>
      </c>
      <c r="F26" s="114" t="s">
        <v>51</v>
      </c>
      <c r="G26" s="103"/>
      <c r="H26" s="105">
        <f>IF(AND(C27&lt;0.15),"&lt;0.15",C27)</f>
        <v>12.163958000000001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12.163958000000001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 t="str">
        <f>FormSampel!J6</f>
        <v>NA</v>
      </c>
      <c r="D29" s="30" t="s">
        <v>50</v>
      </c>
      <c r="E29" s="36">
        <v>1000</v>
      </c>
      <c r="F29" s="117" t="s">
        <v>51</v>
      </c>
      <c r="G29" s="113"/>
      <c r="H29" s="155" t="s">
        <v>99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 t="e">
        <f>C29/1000</f>
        <v>#VALUE!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NOR HANANI</v>
      </c>
      <c r="G38" s="140"/>
      <c r="H38" s="143">
        <f>FormSampel!B20</f>
        <v>45624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FormSampel!F7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281124(1)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FormSampel!G7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FormSampel!H7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FormSampel!I7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FormSampel!J7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NOR HANANI</v>
      </c>
      <c r="G38" s="140"/>
      <c r="H38" s="143">
        <f>FormSampel!B20</f>
        <v>45624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FormSampel!F8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281124(1)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FormSampel!G8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FormSampel!H8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FormSampel!I8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FormSampel!J8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NOR HANANI</v>
      </c>
      <c r="G38" s="140"/>
      <c r="H38" s="143">
        <f>FormSampel!B20</f>
        <v>45624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FormSampel!F9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281124(1)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FormSampel!G9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FormSampel!H9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FormSampel!I9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FormSampel!J9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NOR HANANI</v>
      </c>
      <c r="G38" s="140"/>
      <c r="H38" s="143">
        <f>FormSampel!B20</f>
        <v>45624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FormSampel!F10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281124(1)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FormSampel!G10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FormSampel!H10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FormSampel!I10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FormSampel!J10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NOR HANANI</v>
      </c>
      <c r="G38" s="140"/>
      <c r="H38" s="143">
        <f>FormSampel!B20</f>
        <v>45624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Z579"/>
  <sheetViews>
    <sheetView view="pageLayout" topLeftCell="A12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FormSampel!F11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281124(1)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FormSampel!G11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FormSampel!H11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FormSampel!I11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FormSampel!J11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NOR HANANI</v>
      </c>
      <c r="G38" s="140"/>
      <c r="H38" s="143">
        <f>FormSampel!B20</f>
        <v>45624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FormSampel!F12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281124(1)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FormSampel!G12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FormSampel!H12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FormSampel!I12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FormSampel!J12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NOR HANANI</v>
      </c>
      <c r="G38" s="140"/>
      <c r="H38" s="143">
        <f>FormSampel!B20</f>
        <v>45624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FormSampel!F13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281124(1)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FormSampel!G13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FormSampel!H13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FormSampel!I13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FormSampel!J13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NOR HANANI</v>
      </c>
      <c r="G38" s="140"/>
      <c r="H38" s="143">
        <f>FormSampel!B20</f>
        <v>45624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Z579"/>
  <sheetViews>
    <sheetView view="pageLayout" topLeftCell="A19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FormSampel!F14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281124(1)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FormSampel!G14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FormSampel!H14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FormSampel!I14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FormSampel!J14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NOR HANANI</v>
      </c>
      <c r="G38" s="140"/>
      <c r="H38" s="143">
        <f>FormSampel!B20</f>
        <v>45624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FormSampel!F15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281124(1)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FormSampel!G15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FormSampel!H15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FormSampel!I15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FormSampel!J15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NOR HANANI</v>
      </c>
      <c r="G38" s="140"/>
      <c r="H38" s="143">
        <f>FormSampel!B20</f>
        <v>45624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FormSampel!F16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281124(1)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FormSampel!G16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FormSampel!H16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FormSampel!I16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FormSampel!J16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NOR HANANI</v>
      </c>
      <c r="G38" s="140"/>
      <c r="H38" s="143">
        <f>FormSampel!B20</f>
        <v>45624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FormSampel!F17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281124(1)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FormSampel!G17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FormSampel!H17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FormSampel!I17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FormSampel!J17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NOR HANANI</v>
      </c>
      <c r="G38" s="140"/>
      <c r="H38" s="143">
        <f>FormSampel!B20</f>
        <v>45624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Z579"/>
  <sheetViews>
    <sheetView view="pageLayout" topLeftCell="A19" zoomScale="112" zoomScaleNormal="100" zoomScalePageLayoutView="112" workbookViewId="0">
      <selection activeCell="F29" sqref="F29:G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FormSampel!F18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281124(1)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FormSampel!G18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FormSampel!H18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FormSampel!I18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FormSampel!J18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NOR HANANI</v>
      </c>
      <c r="G38" s="140"/>
      <c r="H38" s="143">
        <f>FormSampel!B20</f>
        <v>45624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2024-12-02T01:59:06Z</cp:lastPrinted>
  <dcterms:created xsi:type="dcterms:W3CDTF">2006-09-16T00:00:00Z</dcterms:created>
  <dcterms:modified xsi:type="dcterms:W3CDTF">2024-12-02T08:03:35Z</dcterms:modified>
</cp:coreProperties>
</file>